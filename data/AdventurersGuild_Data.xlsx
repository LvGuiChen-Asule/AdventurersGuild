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30aa818b9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" sheetId="1" r:id="Rb38485cc281644b9"/>
    <x:sheet xmlns:r="http://schemas.openxmlformats.org/officeDocument/2006/relationships" name="QuestPool" sheetId="2" r:id="R34d3e2baab294df8"/>
    <x:sheet xmlns:r="http://schemas.openxmlformats.org/officeDocument/2006/relationships" name="QuestChain" sheetId="3" r:id="R99cb8b8755c34566"/>
    <x:sheet xmlns:r="http://schemas.openxmlformats.org/officeDocument/2006/relationships" name="Level" sheetId="4" r:id="R592b0ca95ac840c0"/>
    <x:sheet xmlns:r="http://schemas.openxmlformats.org/officeDocument/2006/relationships" name="Reputation" sheetId="5" r:id="R7cb189e74fe24e30"/>
    <x:sheet xmlns:r="http://schemas.openxmlformats.org/officeDocument/2006/relationships" name="Equipment" sheetId="6" r:id="R1c283e07ee484a5b"/>
    <x:sheet xmlns:r="http://schemas.openxmlformats.org/officeDocument/2006/relationships" name="Shop" sheetId="7" r:id="R66233fce2b4646e3"/>
    <x:sheet xmlns:r="http://schemas.openxmlformats.org/officeDocument/2006/relationships" name="Economy" sheetId="8" r:id="R164ac6b321dc4287"/>
    <x:sheet xmlns:r="http://schemas.openxmlformats.org/officeDocument/2006/relationships" name="TestData" sheetId="9" r:id="R84c89b19b31245fe"/>
    <x:sheet xmlns:r="http://schemas.openxmlformats.org/officeDocument/2006/relationships" name="QuestReward" sheetId="10" r:id="Rfaf71bf2f6fc4a39"/>
    <x:sheet xmlns:r="http://schemas.openxmlformats.org/officeDocument/2006/relationships" name="QuestCondition" sheetId="11" r:id="R8bfc88680ae2486a"/>
    <x:sheet xmlns:r="http://schemas.openxmlformats.org/officeDocument/2006/relationships" name="Chapter" sheetId="12" r:id="Rdd94eb8988b849be"/>
    <x:sheet xmlns:r="http://schemas.openxmlformats.org/officeDocument/2006/relationships" name="Milestone" sheetId="13" r:id="R4268670a2b644ba6"/>
    <x:sheet xmlns:r="http://schemas.openxmlformats.org/officeDocument/2006/relationships" name="NPC" sheetId="14" r:id="R9a256387bbc8405e"/>
    <x:sheet xmlns:r="http://schemas.openxmlformats.org/officeDocument/2006/relationships" name="WorldEvent" sheetId="15" r:id="Re471a8f296fb4893"/>
    <x:sheet xmlns:r="http://schemas.openxmlformats.org/officeDocument/2006/relationships" name="Lore" sheetId="16" r:id="R376ae5713e9c4541"/>
    <x:sheet xmlns:r="http://schemas.openxmlformats.org/officeDocument/2006/relationships" name="Party" sheetId="17" r:id="Re2bb11b3cea64aaa"/>
    <x:sheet xmlns:r="http://schemas.openxmlformats.org/officeDocument/2006/relationships" name="Unlock" sheetId="18" r:id="R9617fff623b6481f"/>
    <x:sheet xmlns:r="http://schemas.openxmlformats.org/officeDocument/2006/relationships" name="Balance" sheetId="19" r:id="Re13e5ec91d024fc3"/>
    <x:sheet xmlns:r="http://schemas.openxmlformats.org/officeDocument/2006/relationships" name="UI" sheetId="20" r:id="Rea1af3c494414e76"/>
    <x:sheet xmlns:r="http://schemas.openxmlformats.org/officeDocument/2006/relationships" name="Achievement" sheetId="21" r:id="Rcbd592d4b19d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#,##0.0"/>
  </x:numFmts>
  <x:fonts count="4">
    <x:font>
      <x:sz val="11"/>
      <x:name val="Carlito"/>
    </x:font>
    <x:font>
      <x:b/>
      <x:sz val="13"/>
      <x:color rgb="FFFFFFFF"/>
      <x:name val="Carlito"/>
    </x:font>
    <x:font>
      <x:b/>
      <x:sz val="11"/>
      <x:color rgb="FF0F172A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3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fe29e885b447e" /><Relationship Type="http://schemas.openxmlformats.org/officeDocument/2006/relationships/theme" Target="/xl/theme/theme1.xml" Id="R45651d9ae48a43fa" /><Relationship Type="http://schemas.openxmlformats.org/officeDocument/2006/relationships/sharedStrings" Target="/xl/sharedStrings.xml" Id="R7acc7995db9e479b" /><Relationship Type="http://schemas.openxmlformats.org/officeDocument/2006/relationships/worksheet" Target="/xl/worksheets/sheet1.xml" Id="Rb38485cc281644b9" /><Relationship Type="http://schemas.openxmlformats.org/officeDocument/2006/relationships/worksheet" Target="/xl/worksheets/sheet2.xml" Id="R34d3e2baab294df8" /><Relationship Type="http://schemas.openxmlformats.org/officeDocument/2006/relationships/worksheet" Target="/xl/worksheets/sheet3.xml" Id="R99cb8b8755c34566" /><Relationship Type="http://schemas.openxmlformats.org/officeDocument/2006/relationships/worksheet" Target="/xl/worksheets/sheet4.xml" Id="R592b0ca95ac840c0" /><Relationship Type="http://schemas.openxmlformats.org/officeDocument/2006/relationships/worksheet" Target="/xl/worksheets/sheet5.xml" Id="R7cb189e74fe24e30" /><Relationship Type="http://schemas.openxmlformats.org/officeDocument/2006/relationships/worksheet" Target="/xl/worksheets/sheet6.xml" Id="R1c283e07ee484a5b" /><Relationship Type="http://schemas.openxmlformats.org/officeDocument/2006/relationships/worksheet" Target="/xl/worksheets/sheet7.xml" Id="R66233fce2b4646e3" /><Relationship Type="http://schemas.openxmlformats.org/officeDocument/2006/relationships/worksheet" Target="/xl/worksheets/sheet8.xml" Id="R164ac6b321dc4287" /><Relationship Type="http://schemas.openxmlformats.org/officeDocument/2006/relationships/worksheet" Target="/xl/worksheets/sheet9.xml" Id="R84c89b19b31245fe" /><Relationship Type="http://schemas.openxmlformats.org/officeDocument/2006/relationships/worksheet" Target="/xl/worksheets/sheet10.xml" Id="Rfaf71bf2f6fc4a39" /><Relationship Type="http://schemas.openxmlformats.org/officeDocument/2006/relationships/worksheet" Target="/xl/worksheets/sheet11.xml" Id="R8bfc88680ae2486a" /><Relationship Type="http://schemas.openxmlformats.org/officeDocument/2006/relationships/worksheet" Target="/xl/worksheets/sheet12.xml" Id="Rdd94eb8988b849be" /><Relationship Type="http://schemas.openxmlformats.org/officeDocument/2006/relationships/worksheet" Target="/xl/worksheets/sheet13.xml" Id="R4268670a2b644ba6" /><Relationship Type="http://schemas.openxmlformats.org/officeDocument/2006/relationships/worksheet" Target="/xl/worksheets/sheet14.xml" Id="R9a256387bbc8405e" /><Relationship Type="http://schemas.openxmlformats.org/officeDocument/2006/relationships/worksheet" Target="/xl/worksheets/sheet15.xml" Id="Re471a8f296fb4893" /><Relationship Type="http://schemas.openxmlformats.org/officeDocument/2006/relationships/worksheet" Target="/xl/worksheets/sheet16.xml" Id="R376ae5713e9c4541" /><Relationship Type="http://schemas.openxmlformats.org/officeDocument/2006/relationships/worksheet" Target="/xl/worksheets/sheet17.xml" Id="Re2bb11b3cea64aaa" /><Relationship Type="http://schemas.openxmlformats.org/officeDocument/2006/relationships/worksheet" Target="/xl/worksheets/sheet18.xml" Id="R9617fff623b6481f" /><Relationship Type="http://schemas.openxmlformats.org/officeDocument/2006/relationships/worksheet" Target="/xl/worksheets/sheet19.xml" Id="Re13e5ec91d024fc3" /><Relationship Type="http://schemas.openxmlformats.org/officeDocument/2006/relationships/worksheet" Target="/xl/worksheets/sheet20.xml" Id="Rea1af3c494414e76" /><Relationship Type="http://schemas.openxmlformats.org/officeDocument/2006/relationships/worksheet" Target="/xl/worksheets/sheet21.xml" Id="Rcbd592d4b19d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2" hidden="0" customWidth="1"/>
    <x:col min="4" max="4" width="46" hidden="0" customWidth="1"/>
    <x:col min="5" max="5" width="48" hidden="0" customWidth="1"/>
    <x:col min="6" max="6" width="22" hidden="0" customWidth="1"/>
    <x:col min="7" max="7" width="12" hidden="0" customWidth="1"/>
    <x:col min="8" max="8" width="16" hidden="0" customWidth="1"/>
    <x:col min="9" max="9" width="12" hidden="0" customWidth="1"/>
    <x:col min="10" max="10" width="11" hidden="0" customWidth="1"/>
    <x:col min="11" max="11" width="11" hidden="0" customWidth="1"/>
    <x:col min="12" max="12" width="13" hidden="0" customWidth="1"/>
    <x:col min="13" max="13" width="13" hidden="0" customWidth="1"/>
    <x:col min="14" max="14" width="11" hidden="0" customWidth="1"/>
    <x:col min="15" max="15" width="12" hidden="0" customWidth="1"/>
    <x:col min="16" max="16" width="13" hidden="0" customWidth="1"/>
    <x:col min="17" max="17" width="9" hidden="0" customWidth="1"/>
  </x:cols>
  <x:sheetData>
    <x:row r="1" ht="30" customHeight="1">
      <x:c r="A1" s="2" t="str">
        <x:v>Adventurer's Guild · 任务配表 Quest（80 个任务，字段与 JSON 一致）</x:v>
      </x:c>
      <x:c r="B1" s="2" t="str">
        <x:v>Adventurer's Guild · 任务配表 Quest（80 个任务，字段与 JSON 一致）</x:v>
      </x:c>
      <x:c r="C1" s="2" t="str">
        <x:v>Adventurer's Guild · 任务配表 Quest（80 个任务，字段与 JSON 一致）</x:v>
      </x:c>
      <x:c r="D1" s="2" t="str">
        <x:v>Adventurer's Guild · 任务配表 Quest（80 个任务，字段与 JSON 一致）</x:v>
      </x:c>
      <x:c r="E1" s="2" t="str">
        <x:v>Adventurer's Guild · 任务配表 Quest（80 个任务，字段与 JSON 一致）</x:v>
      </x:c>
      <x:c r="F1" s="2" t="str">
        <x:v>Adventurer's Guild · 任务配表 Quest（80 个任务，字段与 JSON 一致）</x:v>
      </x:c>
      <x:c r="G1" s="2" t="str">
        <x:v>Adventurer's Guild · 任务配表 Quest（80 个任务，字段与 JSON 一致）</x:v>
      </x:c>
      <x:c r="H1" s="2" t="str">
        <x:v>Adventurer's Guild · 任务配表 Quest（80 个任务，字段与 JSON 一致）</x:v>
      </x:c>
      <x:c r="I1" s="2" t="str">
        <x:v>Adventurer's Guild · 任务配表 Quest（80 个任务，字段与 JSON 一致）</x:v>
      </x:c>
      <x:c r="J1" s="2" t="str">
        <x:v>Adventurer's Guild · 任务配表 Quest（80 个任务，字段与 JSON 一致）</x:v>
      </x:c>
      <x:c r="K1" s="2" t="str">
        <x:v>Adventurer's Guild · 任务配表 Quest（80 个任务，字段与 JSON 一致）</x:v>
      </x:c>
      <x:c r="L1" s="2" t="str">
        <x:v>Adventurer's Guild · 任务配表 Quest（80 个任务，字段与 JSON 一致）</x:v>
      </x:c>
      <x:c r="M1" s="2" t="str">
        <x:v>Adventurer's Guild · 任务配表 Quest（80 个任务，字段与 JSON 一致）</x:v>
      </x:c>
      <x:c r="N1" s="2" t="str">
        <x:v>Adventurer's Guild · 任务配表 Quest（80 个任务，字段与 JSON 一致）</x:v>
      </x:c>
      <x:c r="O1" s="2" t="str">
        <x:v>Adventurer's Guild · 任务配表 Quest（80 个任务，字段与 JSON 一致）</x:v>
      </x:c>
      <x:c r="P1" s="2" t="str">
        <x:v>Adventurer's Guild · 任务配表 Quest（80 个任务，字段与 JSON 一致）</x:v>
      </x:c>
      <x:c r="Q1" s="2" t="str">
        <x:v>Adventurer's Guild · 任务配表 Quest（80 个任务，字段与 JSON 一致）</x:v>
      </x:c>
    </x:row>
    <x:row r="2" ht="22" customHeight="1">
      <x:c r="A2" s="5" t="str">
        <x:v>quest_id</x:v>
      </x:c>
      <x:c r="B2" s="5" t="str">
        <x:v>type</x:v>
      </x:c>
      <x:c r="C2" s="5" t="str">
        <x:v>quality</x:v>
      </x:c>
      <x:c r="D2" s="5" t="str">
        <x:v>title_key</x:v>
      </x:c>
      <x:c r="E2" s="5" t="str">
        <x:v>description_key</x:v>
      </x:c>
      <x:c r="F2" s="5" t="str">
        <x:v>objective_target</x:v>
      </x:c>
      <x:c r="G2" s="5" t="str">
        <x:v>objective_amount</x:v>
      </x:c>
      <x:c r="H2" s="5" t="str">
        <x:v>objective_extra</x:v>
      </x:c>
      <x:c r="I2" s="5" t="str">
        <x:v>objective_radius</x:v>
      </x:c>
      <x:c r="J2" s="5" t="str">
        <x:v>reward_gold</x:v>
      </x:c>
      <x:c r="K2" s="5" t="str">
        <x:v>reward_exp</x:v>
      </x:c>
      <x:c r="L2" s="5" t="str">
        <x:v>reward_reputation</x:v>
      </x:c>
      <x:c r="M2" s="5" t="str">
        <x:v>recommended_level</x:v>
      </x:c>
      <x:c r="N2" s="5" t="str">
        <x:v>min_level</x:v>
      </x:c>
      <x:c r="O2" s="5" t="str">
        <x:v>min_reputation</x:v>
      </x:c>
      <x:c r="P2" s="5" t="str">
        <x:v>time_limit_seconds</x:v>
      </x:c>
      <x:c r="Q2" s="5" t="str">
        <x:v>tutorial</x:v>
      </x:c>
    </x:row>
    <x:row r="3">
      <x:c r="A3" s="7" t="str">
        <x:v>AG_END_001</x:v>
      </x:c>
      <x:c r="B3" s="7" t="str">
        <x:v>MILESTONE</x:v>
      </x:c>
      <x:c r="C3" s="7" t="str">
        <x:v>LEGENDARY</x:v>
      </x:c>
      <x:c r="D3" s="7" t="str">
        <x:v>quest.adventurersguild.AG_END_001.title</x:v>
      </x:c>
      <x:c r="E3" s="7" t="str">
        <x:v>quest.adventurersguild.AG_END_001.desc</x:v>
      </x:c>
      <x:c r="F3" s="7" t="str">
        <x:v>EVENT_DRAGON_DEATH</x:v>
      </x:c>
      <x:c r="G3" s="7" t="n">
        <x:v>1</x:v>
      </x:c>
      <x:c r="H3" s="7" t="str"/>
      <x:c r="I3" s="7" t="n">
        <x:v>0</x:v>
      </x:c>
      <x:c r="J3" s="8" t="n">
        <x:v>0</x:v>
      </x:c>
      <x:c r="K3" s="8" t="n">
        <x:v>100</x:v>
      </x:c>
      <x:c r="L3" s="7" t="n">
        <x:v>30</x:v>
      </x:c>
      <x:c r="M3" s="7" t="n">
        <x:v>6</x:v>
      </x:c>
      <x:c r="N3" s="7" t="n">
        <x:v>6</x:v>
      </x:c>
      <x:c r="O3" s="7" t="n">
        <x:v>0</x:v>
      </x:c>
      <x:c r="P3" s="8" t="n">
        <x:v>0</x:v>
      </x:c>
      <x:c r="Q3" s="7" t="str"/>
    </x:row>
    <x:row r="4">
      <x:c r="A4" s="7" t="str">
        <x:v>AG_END_002</x:v>
      </x:c>
      <x:c r="B4" s="7" t="str">
        <x:v>ACHIEVEMENT</x:v>
      </x:c>
      <x:c r="C4" s="7" t="str">
        <x:v>EPIC</x:v>
      </x:c>
      <x:c r="D4" s="7" t="str">
        <x:v>quest.adventurersguild.AG_END_002.title</x:v>
      </x:c>
      <x:c r="E4" s="7" t="str">
        <x:v>quest.adventurersguild.AG_END_002.desc</x:v>
      </x:c>
      <x:c r="F4" s="7" t="str">
        <x:v>endCrystals</x:v>
      </x:c>
      <x:c r="G4" s="7" t="n">
        <x:v>4</x:v>
      </x:c>
      <x:c r="H4" s="7" t="str"/>
      <x:c r="I4" s="7" t="n">
        <x:v>0</x:v>
      </x:c>
      <x:c r="J4" s="8" t="n">
        <x:v>0</x:v>
      </x:c>
      <x:c r="K4" s="8" t="n">
        <x:v>100</x:v>
      </x:c>
      <x:c r="L4" s="7" t="n">
        <x:v>30</x:v>
      </x:c>
      <x:c r="M4" s="7" t="n">
        <x:v>6</x:v>
      </x:c>
      <x:c r="N4" s="7" t="n">
        <x:v>6</x:v>
      </x:c>
      <x:c r="O4" s="7" t="n">
        <x:v>0</x:v>
      </x:c>
      <x:c r="P4" s="8" t="n">
        <x:v>0</x:v>
      </x:c>
      <x:c r="Q4" s="7" t="str"/>
    </x:row>
    <x:row r="5">
      <x:c r="A5" s="7" t="str">
        <x:v>AG_END_003</x:v>
      </x:c>
      <x:c r="B5" s="7" t="str">
        <x:v>MILESTONE</x:v>
      </x:c>
      <x:c r="C5" s="7" t="str">
        <x:v>EPIC</x:v>
      </x:c>
      <x:c r="D5" s="7" t="str">
        <x:v>quest.adventurersguild.AG_END_003.title</x:v>
      </x:c>
      <x:c r="E5" s="7" t="str">
        <x:v>quest.adventurersguild.AG_END_003.desc</x:v>
      </x:c>
      <x:c r="F5" s="7" t="str">
        <x:v>EVENT_END_ISLAND</x:v>
      </x:c>
      <x:c r="G5" s="7" t="n">
        <x:v>1</x:v>
      </x:c>
      <x:c r="H5" s="7" t="str"/>
      <x:c r="I5" s="7" t="n">
        <x:v>0</x:v>
      </x:c>
      <x:c r="J5" s="8" t="n">
        <x:v>0</x:v>
      </x:c>
      <x:c r="K5" s="8" t="n">
        <x:v>100</x:v>
      </x:c>
      <x:c r="L5" s="7" t="n">
        <x:v>30</x:v>
      </x:c>
      <x:c r="M5" s="7" t="n">
        <x:v>6</x:v>
      </x:c>
      <x:c r="N5" s="7" t="n">
        <x:v>6</x:v>
      </x:c>
      <x:c r="O5" s="7" t="n">
        <x:v>0</x:v>
      </x:c>
      <x:c r="P5" s="8" t="n">
        <x:v>0</x:v>
      </x:c>
      <x:c r="Q5" s="7" t="str"/>
    </x:row>
    <x:row r="6">
      <x:c r="A6" s="7" t="str">
        <x:v>AG_END_004</x:v>
      </x:c>
      <x:c r="B6" s="7" t="str">
        <x:v>INTERACT</x:v>
      </x:c>
      <x:c r="C6" s="7" t="str">
        <x:v>RARE</x:v>
      </x:c>
      <x:c r="D6" s="7" t="str">
        <x:v>quest.adventurersguild.AG_END_004.title</x:v>
      </x:c>
      <x:c r="E6" s="7" t="str">
        <x:v>quest.adventurersguild.AG_END_004.desc</x:v>
      </x:c>
      <x:c r="F6" s="7" t="str">
        <x:v>expedition_master</x:v>
      </x:c>
      <x:c r="G6" s="7" t="n">
        <x:v>1</x:v>
      </x:c>
      <x:c r="H6" s="7" t="str"/>
      <x:c r="I6" s="7" t="n">
        <x:v>0</x:v>
      </x:c>
      <x:c r="J6" s="8" t="n">
        <x:v>0</x:v>
      </x:c>
      <x:c r="K6" s="8" t="n">
        <x:v>60</x:v>
      </x:c>
      <x:c r="L6" s="7" t="n">
        <x:v>20</x:v>
      </x:c>
      <x:c r="M6" s="7" t="n">
        <x:v>6</x:v>
      </x:c>
      <x:c r="N6" s="7" t="n">
        <x:v>6</x:v>
      </x:c>
      <x:c r="O6" s="7" t="n">
        <x:v>0</x:v>
      </x:c>
      <x:c r="P6" s="8" t="n">
        <x:v>0</x:v>
      </x:c>
      <x:c r="Q6" s="7" t="str"/>
    </x:row>
    <x:row r="7">
      <x:c r="A7" s="7" t="str">
        <x:v>AG_END_005</x:v>
      </x:c>
      <x:c r="B7" s="7" t="str">
        <x:v>EXPLORE</x:v>
      </x:c>
      <x:c r="C7" s="7" t="str">
        <x:v>EPIC</x:v>
      </x:c>
      <x:c r="D7" s="7" t="str">
        <x:v>quest.adventurersguild.AG_END_005.title</x:v>
      </x:c>
      <x:c r="E7" s="7" t="str">
        <x:v>quest.adventurersguild.AG_END_005.desc</x:v>
      </x:c>
      <x:c r="F7" s="7" t="str">
        <x:v>minecraft:end_midlands</x:v>
      </x:c>
      <x:c r="G7" s="7" t="n">
        <x:v>0</x:v>
      </x:c>
      <x:c r="H7" s="7" t="str"/>
      <x:c r="I7" s="7" t="n">
        <x:v>0</x:v>
      </x:c>
      <x:c r="J7" s="8" t="n">
        <x:v>0</x:v>
      </x:c>
      <x:c r="K7" s="8" t="n">
        <x:v>120</x:v>
      </x:c>
      <x:c r="L7" s="7" t="n">
        <x:v>40</x:v>
      </x:c>
      <x:c r="M7" s="7" t="n">
        <x:v>6</x:v>
      </x:c>
      <x:c r="N7" s="7" t="n">
        <x:v>6</x:v>
      </x:c>
      <x:c r="O7" s="7" t="n">
        <x:v>0</x:v>
      </x:c>
      <x:c r="P7" s="8" t="n">
        <x:v>0</x:v>
      </x:c>
      <x:c r="Q7" s="7" t="str"/>
    </x:row>
    <x:row r="8">
      <x:c r="A8" s="7" t="str">
        <x:v>AG_END_006</x:v>
      </x:c>
      <x:c r="B8" s="7" t="str">
        <x:v>EXPLORE</x:v>
      </x:c>
      <x:c r="C8" s="7" t="str">
        <x:v>EPIC</x:v>
      </x:c>
      <x:c r="D8" s="7" t="str">
        <x:v>quest.adventurersguild.AG_END_006.title</x:v>
      </x:c>
      <x:c r="E8" s="7" t="str">
        <x:v>quest.adventurersguild.AG_END_006.desc</x:v>
      </x:c>
      <x:c r="F8" s="7" t="str">
        <x:v>minecraft:end_highlands</x:v>
      </x:c>
      <x:c r="G8" s="7" t="n">
        <x:v>0</x:v>
      </x:c>
      <x:c r="H8" s="7" t="str"/>
      <x:c r="I8" s="7" t="n">
        <x:v>0</x:v>
      </x:c>
      <x:c r="J8" s="8" t="n">
        <x:v>0</x:v>
      </x:c>
      <x:c r="K8" s="8" t="n">
        <x:v>120</x:v>
      </x:c>
      <x:c r="L8" s="7" t="n">
        <x:v>40</x:v>
      </x:c>
      <x:c r="M8" s="7" t="n">
        <x:v>6</x:v>
      </x:c>
      <x:c r="N8" s="7" t="n">
        <x:v>6</x:v>
      </x:c>
      <x:c r="O8" s="7" t="n">
        <x:v>0</x:v>
      </x:c>
      <x:c r="P8" s="8" t="n">
        <x:v>0</x:v>
      </x:c>
      <x:c r="Q8" s="7" t="str"/>
    </x:row>
    <x:row r="9">
      <x:c r="A9" s="7" t="str">
        <x:v>AG_END_007</x:v>
      </x:c>
      <x:c r="B9" s="7" t="str">
        <x:v>COLLECT</x:v>
      </x:c>
      <x:c r="C9" s="7" t="str">
        <x:v>LEGENDARY</x:v>
      </x:c>
      <x:c r="D9" s="7" t="str">
        <x:v>quest.adventurersguild.AG_END_007.title</x:v>
      </x:c>
      <x:c r="E9" s="7" t="str">
        <x:v>quest.adventurersguild.AG_END_007.desc</x:v>
      </x:c>
      <x:c r="F9" s="7" t="str">
        <x:v>minecraft:elytra</x:v>
      </x:c>
      <x:c r="G9" s="7" t="n">
        <x:v>1</x:v>
      </x:c>
      <x:c r="H9" s="7" t="str"/>
      <x:c r="I9" s="7" t="n">
        <x:v>0</x:v>
      </x:c>
      <x:c r="J9" s="8" t="n">
        <x:v>50</x:v>
      </x:c>
      <x:c r="K9" s="8" t="n">
        <x:v>150</x:v>
      </x:c>
      <x:c r="L9" s="7" t="n">
        <x:v>50</x:v>
      </x:c>
      <x:c r="M9" s="7" t="n">
        <x:v>6</x:v>
      </x:c>
      <x:c r="N9" s="7" t="n">
        <x:v>6</x:v>
      </x:c>
      <x:c r="O9" s="7" t="n">
        <x:v>0</x:v>
      </x:c>
      <x:c r="P9" s="8" t="n">
        <x:v>0</x:v>
      </x:c>
      <x:c r="Q9" s="7" t="str"/>
    </x:row>
    <x:row r="10">
      <x:c r="A10" s="7" t="str">
        <x:v>AG_END_008</x:v>
      </x:c>
      <x:c r="B10" s="7" t="str">
        <x:v>INTERACT</x:v>
      </x:c>
      <x:c r="C10" s="7" t="str">
        <x:v>RARE</x:v>
      </x:c>
      <x:c r="D10" s="7" t="str">
        <x:v>quest.adventurersguild.AG_END_008.title</x:v>
      </x:c>
      <x:c r="E10" s="7" t="str">
        <x:v>quest.adventurersguild.AG_END_008.desc</x:v>
      </x:c>
      <x:c r="F10" s="7" t="str">
        <x:v>questmaster</x:v>
      </x:c>
      <x:c r="G10" s="7" t="n">
        <x:v>1</x:v>
      </x:c>
      <x:c r="H10" s="7" t="str"/>
      <x:c r="I10" s="7" t="n">
        <x:v>0</x:v>
      </x:c>
      <x:c r="J10" s="8" t="n">
        <x:v>0</x:v>
      </x:c>
      <x:c r="K10" s="8" t="n">
        <x:v>60</x:v>
      </x:c>
      <x:c r="L10" s="7" t="n">
        <x:v>20</x:v>
      </x:c>
      <x:c r="M10" s="7" t="n">
        <x:v>6</x:v>
      </x:c>
      <x:c r="N10" s="7" t="n">
        <x:v>6</x:v>
      </x:c>
      <x:c r="O10" s="7" t="n">
        <x:v>0</x:v>
      </x:c>
      <x:c r="P10" s="8" t="n">
        <x:v>0</x:v>
      </x:c>
      <x:c r="Q10" s="7" t="str"/>
    </x:row>
    <x:row r="11">
      <x:c r="A11" s="7" t="str">
        <x:v>AG_END_009</x:v>
      </x:c>
      <x:c r="B11" s="7" t="str">
        <x:v>INTERACT</x:v>
      </x:c>
      <x:c r="C11" s="7" t="str">
        <x:v>RARE</x:v>
      </x:c>
      <x:c r="D11" s="7" t="str">
        <x:v>quest.adventurersguild.AG_END_009.title</x:v>
      </x:c>
      <x:c r="E11" s="7" t="str">
        <x:v>quest.adventurersguild.AG_END_009.desc</x:v>
      </x:c>
      <x:c r="F11" s="7" t="str">
        <x:v>archivist</x:v>
      </x:c>
      <x:c r="G11" s="7" t="n">
        <x:v>1</x:v>
      </x:c>
      <x:c r="H11" s="7" t="str"/>
      <x:c r="I11" s="7" t="n">
        <x:v>0</x:v>
      </x:c>
      <x:c r="J11" s="8" t="n">
        <x:v>0</x:v>
      </x:c>
      <x:c r="K11" s="8" t="n">
        <x:v>60</x:v>
      </x:c>
      <x:c r="L11" s="7" t="n">
        <x:v>20</x:v>
      </x:c>
      <x:c r="M11" s="7" t="n">
        <x:v>6</x:v>
      </x:c>
      <x:c r="N11" s="7" t="n">
        <x:v>6</x:v>
      </x:c>
      <x:c r="O11" s="7" t="n">
        <x:v>0</x:v>
      </x:c>
      <x:c r="P11" s="8" t="n">
        <x:v>0</x:v>
      </x:c>
      <x:c r="Q11" s="7" t="str"/>
    </x:row>
    <x:row r="12">
      <x:c r="A12" s="7" t="str">
        <x:v>AG_END_010</x:v>
      </x:c>
      <x:c r="B12" s="7" t="str">
        <x:v>MILESTONE</x:v>
      </x:c>
      <x:c r="C12" s="7" t="str">
        <x:v>EPIC</x:v>
      </x:c>
      <x:c r="D12" s="7" t="str">
        <x:v>quest.adventurersguild.AG_END_010.title</x:v>
      </x:c>
      <x:c r="E12" s="7" t="str">
        <x:v>quest.adventurersguild.AG_END_010.desc</x:v>
      </x:c>
      <x:c r="F12" s="7" t="str">
        <x:v>EVENT_WITHER_SUMMON</x:v>
      </x:c>
      <x:c r="G12" s="7" t="n">
        <x:v>1</x:v>
      </x:c>
      <x:c r="H12" s="7" t="str"/>
      <x:c r="I12" s="7" t="n">
        <x:v>0</x:v>
      </x:c>
      <x:c r="J12" s="8" t="n">
        <x:v>0</x:v>
      </x:c>
      <x:c r="K12" s="8" t="n">
        <x:v>120</x:v>
      </x:c>
      <x:c r="L12" s="7" t="n">
        <x:v>40</x:v>
      </x:c>
      <x:c r="M12" s="7" t="n">
        <x:v>6</x:v>
      </x:c>
      <x:c r="N12" s="7" t="n">
        <x:v>6</x:v>
      </x:c>
      <x:c r="O12" s="7" t="n">
        <x:v>0</x:v>
      </x:c>
      <x:c r="P12" s="8" t="n">
        <x:v>0</x:v>
      </x:c>
      <x:c r="Q12" s="7" t="str"/>
    </x:row>
    <x:row r="13">
      <x:c r="A13" s="7" t="str">
        <x:v>AG_END_011</x:v>
      </x:c>
      <x:c r="B13" s="7" t="str">
        <x:v>ACHIEVEMENT</x:v>
      </x:c>
      <x:c r="C13" s="7" t="str">
        <x:v>LEGENDARY</x:v>
      </x:c>
      <x:c r="D13" s="7" t="str">
        <x:v>quest.adventurersguild.AG_END_011.title</x:v>
      </x:c>
      <x:c r="E13" s="7" t="str">
        <x:v>quest.adventurersguild.AG_END_011.desc</x:v>
      </x:c>
      <x:c r="F13" s="7" t="str">
        <x:v>witherKills</x:v>
      </x:c>
      <x:c r="G13" s="7" t="n">
        <x:v>3</x:v>
      </x:c>
      <x:c r="H13" s="7" t="str"/>
      <x:c r="I13" s="7" t="n">
        <x:v>0</x:v>
      </x:c>
      <x:c r="J13" s="8" t="n">
        <x:v>100</x:v>
      </x:c>
      <x:c r="K13" s="8" t="n">
        <x:v>200</x:v>
      </x:c>
      <x:c r="L13" s="7" t="n">
        <x:v>60</x:v>
      </x:c>
      <x:c r="M13" s="7" t="n">
        <x:v>6</x:v>
      </x:c>
      <x:c r="N13" s="7" t="n">
        <x:v>6</x:v>
      </x:c>
      <x:c r="O13" s="7" t="n">
        <x:v>0</x:v>
      </x:c>
      <x:c r="P13" s="8" t="n">
        <x:v>0</x:v>
      </x:c>
      <x:c r="Q13" s="7" t="str"/>
    </x:row>
    <x:row r="14">
      <x:c r="A14" s="7" t="str">
        <x:v>AG_END_012</x:v>
      </x:c>
      <x:c r="B14" s="7" t="str">
        <x:v>ACHIEVEMENT</x:v>
      </x:c>
      <x:c r="C14" s="7" t="str">
        <x:v>LEGENDARY</x:v>
      </x:c>
      <x:c r="D14" s="7" t="str">
        <x:v>quest.adventurersguild.AG_END_012.title</x:v>
      </x:c>
      <x:c r="E14" s="7" t="str">
        <x:v>quest.adventurersguild.AG_END_012.desc</x:v>
      </x:c>
      <x:c r="F14" s="7" t="str">
        <x:v>eliteKills</x:v>
      </x:c>
      <x:c r="G14" s="7" t="n">
        <x:v>15</x:v>
      </x:c>
      <x:c r="H14" s="7" t="str"/>
      <x:c r="I14" s="7" t="n">
        <x:v>0</x:v>
      </x:c>
      <x:c r="J14" s="8" t="n">
        <x:v>100</x:v>
      </x:c>
      <x:c r="K14" s="8" t="n">
        <x:v>200</x:v>
      </x:c>
      <x:c r="L14" s="7" t="n">
        <x:v>60</x:v>
      </x:c>
      <x:c r="M14" s="7" t="n">
        <x:v>6</x:v>
      </x:c>
      <x:c r="N14" s="7" t="n">
        <x:v>6</x:v>
      </x:c>
      <x:c r="O14" s="7" t="n">
        <x:v>0</x:v>
      </x:c>
      <x:c r="P14" s="8" t="n">
        <x:v>0</x:v>
      </x:c>
      <x:c r="Q14" s="7" t="str"/>
    </x:row>
    <x:row r="15">
      <x:c r="A15" s="7" t="str">
        <x:v>AG_END_013</x:v>
      </x:c>
      <x:c r="B15" s="7" t="str">
        <x:v>ACHIEVEMENT</x:v>
      </x:c>
      <x:c r="C15" s="7" t="str">
        <x:v>LEGENDARY</x:v>
      </x:c>
      <x:c r="D15" s="7" t="str">
        <x:v>quest.adventurersguild.AG_END_013.title</x:v>
      </x:c>
      <x:c r="E15" s="7" t="str">
        <x:v>quest.adventurersguild.AG_END_013.desc</x:v>
      </x:c>
      <x:c r="F15" s="7" t="str">
        <x:v>completed</x:v>
      </x:c>
      <x:c r="G15" s="7" t="n">
        <x:v>100</x:v>
      </x:c>
      <x:c r="H15" s="7" t="str"/>
      <x:c r="I15" s="7" t="n">
        <x:v>0</x:v>
      </x:c>
      <x:c r="J15" s="8" t="n">
        <x:v>200</x:v>
      </x:c>
      <x:c r="K15" s="8" t="n">
        <x:v>300</x:v>
      </x:c>
      <x:c r="L15" s="7" t="n">
        <x:v>80</x:v>
      </x:c>
      <x:c r="M15" s="7" t="n">
        <x:v>6</x:v>
      </x:c>
      <x:c r="N15" s="7" t="n">
        <x:v>6</x:v>
      </x:c>
      <x:c r="O15" s="7" t="n">
        <x:v>0</x:v>
      </x:c>
      <x:c r="P15" s="8" t="n">
        <x:v>0</x:v>
      </x:c>
      <x:c r="Q15" s="7" t="str"/>
    </x:row>
    <x:row r="16">
      <x:c r="A16" s="7" t="str">
        <x:v>AG_END_014</x:v>
      </x:c>
      <x:c r="B16" s="7" t="str">
        <x:v>ACHIEVEMENT</x:v>
      </x:c>
      <x:c r="C16" s="7" t="str">
        <x:v>LEGENDARY</x:v>
      </x:c>
      <x:c r="D16" s="7" t="str">
        <x:v>quest.adventurersguild.AG_END_014.title</x:v>
      </x:c>
      <x:c r="E16" s="7" t="str">
        <x:v>quest.adventurersguild.AG_END_014.desc</x:v>
      </x:c>
      <x:c r="F16" s="7" t="str">
        <x:v>gold</x:v>
      </x:c>
      <x:c r="G16" s="7" t="n">
        <x:v>50000</x:v>
      </x:c>
      <x:c r="H16" s="7" t="str"/>
      <x:c r="I16" s="7" t="n">
        <x:v>0</x:v>
      </x:c>
      <x:c r="J16" s="8" t="n">
        <x:v>0</x:v>
      </x:c>
      <x:c r="K16" s="8" t="n">
        <x:v>300</x:v>
      </x:c>
      <x:c r="L16" s="7" t="n">
        <x:v>80</x:v>
      </x:c>
      <x:c r="M16" s="7" t="n">
        <x:v>6</x:v>
      </x:c>
      <x:c r="N16" s="7" t="n">
        <x:v>6</x:v>
      </x:c>
      <x:c r="O16" s="7" t="n">
        <x:v>0</x:v>
      </x:c>
      <x:c r="P16" s="8" t="n">
        <x:v>0</x:v>
      </x:c>
      <x:c r="Q16" s="7" t="str"/>
    </x:row>
    <x:row r="17">
      <x:c r="A17" s="7" t="str">
        <x:v>AG_END_015</x:v>
      </x:c>
      <x:c r="B17" s="7" t="str">
        <x:v>ACHIEVEMENT</x:v>
      </x:c>
      <x:c r="C17" s="7" t="str">
        <x:v>LEGENDARY</x:v>
      </x:c>
      <x:c r="D17" s="7" t="str">
        <x:v>quest.adventurersguild.AG_END_015.title</x:v>
      </x:c>
      <x:c r="E17" s="7" t="str">
        <x:v>quest.adventurersguild.AG_END_015.desc</x:v>
      </x:c>
      <x:c r="F17" s="7" t="str">
        <x:v>reputation</x:v>
      </x:c>
      <x:c r="G17" s="7" t="n">
        <x:v>3000</x:v>
      </x:c>
      <x:c r="H17" s="7" t="str"/>
      <x:c r="I17" s="7" t="n">
        <x:v>0</x:v>
      </x:c>
      <x:c r="J17" s="8" t="n">
        <x:v>0</x:v>
      </x:c>
      <x:c r="K17" s="8" t="n">
        <x:v>300</x:v>
      </x:c>
      <x:c r="L17" s="7" t="n">
        <x:v>80</x:v>
      </x:c>
      <x:c r="M17" s="7" t="n">
        <x:v>6</x:v>
      </x:c>
      <x:c r="N17" s="7" t="n">
        <x:v>6</x:v>
      </x:c>
      <x:c r="O17" s="7" t="n">
        <x:v>0</x:v>
      </x:c>
      <x:c r="P17" s="8" t="n">
        <x:v>0</x:v>
      </x:c>
      <x:c r="Q17" s="7" t="str"/>
    </x:row>
    <x:row r="18">
      <x:c r="A18" s="7" t="str">
        <x:v>AG_END_016</x:v>
      </x:c>
      <x:c r="B18" s="7" t="str">
        <x:v>ACHIEVEMENT</x:v>
      </x:c>
      <x:c r="C18" s="7" t="str">
        <x:v>EPIC</x:v>
      </x:c>
      <x:c r="D18" s="7" t="str">
        <x:v>quest.adventurersguild.AG_END_016.title</x:v>
      </x:c>
      <x:c r="E18" s="7" t="str">
        <x:v>quest.adventurersguild.AG_END_016.desc</x:v>
      </x:c>
      <x:c r="F18" s="7" t="str">
        <x:v>loreCount</x:v>
      </x:c>
      <x:c r="G18" s="7" t="n">
        <x:v>5</x:v>
      </x:c>
      <x:c r="H18" s="7" t="str"/>
      <x:c r="I18" s="7" t="n">
        <x:v>0</x:v>
      </x:c>
      <x:c r="J18" s="8" t="n">
        <x:v>0</x:v>
      </x:c>
      <x:c r="K18" s="8" t="n">
        <x:v>120</x:v>
      </x:c>
      <x:c r="L18" s="7" t="n">
        <x:v>40</x:v>
      </x:c>
      <x:c r="M18" s="7" t="n">
        <x:v>6</x:v>
      </x:c>
      <x:c r="N18" s="7" t="n">
        <x:v>6</x:v>
      </x:c>
      <x:c r="O18" s="7" t="n">
        <x:v>0</x:v>
      </x:c>
      <x:c r="P18" s="8" t="n">
        <x:v>0</x:v>
      </x:c>
      <x:c r="Q18" s="7" t="str"/>
    </x:row>
    <x:row r="19">
      <x:c r="A19" s="7" t="str">
        <x:v>AG_END_017</x:v>
      </x:c>
      <x:c r="B19" s="7" t="str">
        <x:v>EXPLORE</x:v>
      </x:c>
      <x:c r="C19" s="7" t="str">
        <x:v>EPIC</x:v>
      </x:c>
      <x:c r="D19" s="7" t="str">
        <x:v>quest.adventurersguild.AG_END_017.title</x:v>
      </x:c>
      <x:c r="E19" s="7" t="str">
        <x:v>quest.adventurersguild.AG_END_017.desc</x:v>
      </x:c>
      <x:c r="F19" s="7" t="str">
        <x:v>minecraft:end_barrens</x:v>
      </x:c>
      <x:c r="G19" s="7" t="n">
        <x:v>0</x:v>
      </x:c>
      <x:c r="H19" s="7" t="str"/>
      <x:c r="I19" s="7" t="n">
        <x:v>0</x:v>
      </x:c>
      <x:c r="J19" s="8" t="n">
        <x:v>0</x:v>
      </x:c>
      <x:c r="K19" s="8" t="n">
        <x:v>120</x:v>
      </x:c>
      <x:c r="L19" s="7" t="n">
        <x:v>40</x:v>
      </x:c>
      <x:c r="M19" s="7" t="n">
        <x:v>6</x:v>
      </x:c>
      <x:c r="N19" s="7" t="n">
        <x:v>6</x:v>
      </x:c>
      <x:c r="O19" s="7" t="n">
        <x:v>0</x:v>
      </x:c>
      <x:c r="P19" s="8" t="n">
        <x:v>0</x:v>
      </x:c>
      <x:c r="Q19" s="7" t="str"/>
    </x:row>
    <x:row r="20">
      <x:c r="A20" s="7" t="str">
        <x:v>AG_END_018</x:v>
      </x:c>
      <x:c r="B20" s="7" t="str">
        <x:v>INTERACT</x:v>
      </x:c>
      <x:c r="C20" s="7" t="str">
        <x:v>RARE</x:v>
      </x:c>
      <x:c r="D20" s="7" t="str">
        <x:v>quest.adventurersguild.AG_END_018.title</x:v>
      </x:c>
      <x:c r="E20" s="7" t="str">
        <x:v>quest.adventurersguild.AG_END_018.desc</x:v>
      </x:c>
      <x:c r="F20" s="7" t="str">
        <x:v>end_researcher</x:v>
      </x:c>
      <x:c r="G20" s="7" t="n">
        <x:v>1</x:v>
      </x:c>
      <x:c r="H20" s="7" t="str"/>
      <x:c r="I20" s="7" t="n">
        <x:v>0</x:v>
      </x:c>
      <x:c r="J20" s="8" t="n">
        <x:v>0</x:v>
      </x:c>
      <x:c r="K20" s="8" t="n">
        <x:v>60</x:v>
      </x:c>
      <x:c r="L20" s="7" t="n">
        <x:v>20</x:v>
      </x:c>
      <x:c r="M20" s="7" t="n">
        <x:v>6</x:v>
      </x:c>
      <x:c r="N20" s="7" t="n">
        <x:v>6</x:v>
      </x:c>
      <x:c r="O20" s="7" t="n">
        <x:v>0</x:v>
      </x:c>
      <x:c r="P20" s="8" t="n">
        <x:v>0</x:v>
      </x:c>
      <x:c r="Q20" s="7" t="str"/>
    </x:row>
    <x:row r="21">
      <x:c r="A21" s="7" t="str">
        <x:v>AG_END_019</x:v>
      </x:c>
      <x:c r="B21" s="7" t="str">
        <x:v>SURVIVE</x:v>
      </x:c>
      <x:c r="C21" s="7" t="str">
        <x:v>LEGENDARY</x:v>
      </x:c>
      <x:c r="D21" s="7" t="str">
        <x:v>quest.adventurersguild.AG_END_019.title</x:v>
      </x:c>
      <x:c r="E21" s="7" t="str">
        <x:v>quest.adventurersguild.AG_END_019.desc</x:v>
      </x:c>
      <x:c r="F21" s="7" t="str">
        <x:v>minecraft:the_end</x:v>
      </x:c>
      <x:c r="G21" s="7" t="n">
        <x:v>120</x:v>
      </x:c>
      <x:c r="H21" s="7" t="str">
        <x:v>dimension</x:v>
      </x:c>
      <x:c r="I21" s="7" t="n">
        <x:v>0</x:v>
      </x:c>
      <x:c r="J21" s="8" t="n">
        <x:v>0</x:v>
      </x:c>
      <x:c r="K21" s="8" t="n">
        <x:v>200</x:v>
      </x:c>
      <x:c r="L21" s="7" t="n">
        <x:v>60</x:v>
      </x:c>
      <x:c r="M21" s="7" t="n">
        <x:v>6</x:v>
      </x:c>
      <x:c r="N21" s="7" t="n">
        <x:v>6</x:v>
      </x:c>
      <x:c r="O21" s="7" t="n">
        <x:v>0</x:v>
      </x:c>
      <x:c r="P21" s="8" t="n">
        <x:v>0</x:v>
      </x:c>
      <x:c r="Q21" s="7" t="str"/>
    </x:row>
    <x:row r="22">
      <x:c r="A22" s="7" t="str">
        <x:v>AG_END_020</x:v>
      </x:c>
      <x:c r="B22" s="7" t="str">
        <x:v>ACHIEVEMENT</x:v>
      </x:c>
      <x:c r="C22" s="7" t="str">
        <x:v>LEGENDARY</x:v>
      </x:c>
      <x:c r="D22" s="7" t="str">
        <x:v>quest.adventurersguild.AG_END_020.title</x:v>
      </x:c>
      <x:c r="E22" s="7" t="str">
        <x:v>quest.adventurersguild.AG_END_020.desc</x:v>
      </x:c>
      <x:c r="F22" s="7" t="str">
        <x:v>completed</x:v>
      </x:c>
      <x:c r="G22" s="7" t="n">
        <x:v>150</x:v>
      </x:c>
      <x:c r="H22" s="7" t="str"/>
      <x:c r="I22" s="7" t="n">
        <x:v>0</x:v>
      </x:c>
      <x:c r="J22" s="8" t="n">
        <x:v>300</x:v>
      </x:c>
      <x:c r="K22" s="8" t="n">
        <x:v>400</x:v>
      </x:c>
      <x:c r="L22" s="7" t="n">
        <x:v>100</x:v>
      </x:c>
      <x:c r="M22" s="7" t="n">
        <x:v>6</x:v>
      </x:c>
      <x:c r="N22" s="7" t="n">
        <x:v>6</x:v>
      </x:c>
      <x:c r="O22" s="7" t="n">
        <x:v>0</x:v>
      </x:c>
      <x:c r="P22" s="8" t="n">
        <x:v>0</x:v>
      </x:c>
      <x:c r="Q22" s="7" t="str"/>
    </x:row>
    <x:row r="23">
      <x:c r="A23" s="7" t="str">
        <x:v>AG_END_021</x:v>
      </x:c>
      <x:c r="B23" s="7" t="str">
        <x:v>INTERACT</x:v>
      </x:c>
      <x:c r="C23" s="7" t="str">
        <x:v>RARE</x:v>
      </x:c>
      <x:c r="D23" s="7" t="str">
        <x:v>quest.adventurersguild.AG_END_021.title</x:v>
      </x:c>
      <x:c r="E23" s="7" t="str">
        <x:v>quest.adventurersguild.AG_END_021.desc</x:v>
      </x:c>
      <x:c r="F23" s="7" t="str">
        <x:v>receptionist</x:v>
      </x:c>
      <x:c r="G23" s="7" t="n">
        <x:v>1</x:v>
      </x:c>
      <x:c r="H23" s="7" t="str"/>
      <x:c r="I23" s="7" t="n">
        <x:v>0</x:v>
      </x:c>
      <x:c r="J23" s="8" t="n">
        <x:v>0</x:v>
      </x:c>
      <x:c r="K23" s="8" t="n">
        <x:v>60</x:v>
      </x:c>
      <x:c r="L23" s="7" t="n">
        <x:v>20</x:v>
      </x:c>
      <x:c r="M23" s="7" t="n">
        <x:v>6</x:v>
      </x:c>
      <x:c r="N23" s="7" t="n">
        <x:v>6</x:v>
      </x:c>
      <x:c r="O23" s="7" t="n">
        <x:v>0</x:v>
      </x:c>
      <x:c r="P23" s="8" t="n">
        <x:v>0</x:v>
      </x:c>
      <x:c r="Q23" s="7" t="str"/>
    </x:row>
    <x:row r="24">
      <x:c r="A24" s="7" t="str">
        <x:v>AG_END_022</x:v>
      </x:c>
      <x:c r="B24" s="7" t="str">
        <x:v>ACHIEVEMENT</x:v>
      </x:c>
      <x:c r="C24" s="7" t="str">
        <x:v>LEGENDARY</x:v>
      </x:c>
      <x:c r="D24" s="7" t="str">
        <x:v>quest.adventurersguild.AG_END_022.title</x:v>
      </x:c>
      <x:c r="E24" s="7" t="str">
        <x:v>quest.adventurersguild.AG_END_022.desc</x:v>
      </x:c>
      <x:c r="F24" s="7" t="str">
        <x:v>loreCount</x:v>
      </x:c>
      <x:c r="G24" s="7" t="n">
        <x:v>12</x:v>
      </x:c>
      <x:c r="H24" s="7" t="str"/>
      <x:c r="I24" s="7" t="n">
        <x:v>0</x:v>
      </x:c>
      <x:c r="J24" s="8" t="n">
        <x:v>0</x:v>
      </x:c>
      <x:c r="K24" s="8" t="n">
        <x:v>200</x:v>
      </x:c>
      <x:c r="L24" s="7" t="n">
        <x:v>60</x:v>
      </x:c>
      <x:c r="M24" s="7" t="n">
        <x:v>6</x:v>
      </x:c>
      <x:c r="N24" s="7" t="n">
        <x:v>6</x:v>
      </x:c>
      <x:c r="O24" s="7" t="n">
        <x:v>0</x:v>
      </x:c>
      <x:c r="P24" s="8" t="n">
        <x:v>0</x:v>
      </x:c>
      <x:c r="Q24" s="7" t="str"/>
    </x:row>
    <x:row r="25">
      <x:c r="A25" s="7" t="str">
        <x:v>AG_END_023</x:v>
      </x:c>
      <x:c r="B25" s="7" t="str">
        <x:v>ACHIEVEMENT</x:v>
      </x:c>
      <x:c r="C25" s="7" t="str">
        <x:v>EPIC</x:v>
      </x:c>
      <x:c r="D25" s="7" t="str">
        <x:v>quest.adventurersguild.AG_END_023.title</x:v>
      </x:c>
      <x:c r="E25" s="7" t="str">
        <x:v>quest.adventurersguild.AG_END_023.desc</x:v>
      </x:c>
      <x:c r="F25" s="7" t="str">
        <x:v>dragonKills</x:v>
      </x:c>
      <x:c r="G25" s="7" t="n">
        <x:v>1</x:v>
      </x:c>
      <x:c r="H25" s="7" t="str"/>
      <x:c r="I25" s="7" t="n">
        <x:v>0</x:v>
      </x:c>
      <x:c r="J25" s="8" t="n">
        <x:v>0</x:v>
      </x:c>
      <x:c r="K25" s="8" t="n">
        <x:v>150</x:v>
      </x:c>
      <x:c r="L25" s="7" t="n">
        <x:v>50</x:v>
      </x:c>
      <x:c r="M25" s="7" t="n">
        <x:v>6</x:v>
      </x:c>
      <x:c r="N25" s="7" t="n">
        <x:v>6</x:v>
      </x:c>
      <x:c r="O25" s="7" t="n">
        <x:v>0</x:v>
      </x:c>
      <x:c r="P25" s="8" t="n">
        <x:v>0</x:v>
      </x:c>
      <x:c r="Q25" s="7" t="str"/>
    </x:row>
    <x:row r="26">
      <x:c r="A26" s="7" t="str">
        <x:v>AG_END_024</x:v>
      </x:c>
      <x:c r="B26" s="7" t="str">
        <x:v>ACHIEVEMENT</x:v>
      </x:c>
      <x:c r="C26" s="7" t="str">
        <x:v>LEGENDARY</x:v>
      </x:c>
      <x:c r="D26" s="7" t="str">
        <x:v>quest.adventurersguild.AG_END_024.title</x:v>
      </x:c>
      <x:c r="E26" s="7" t="str">
        <x:v>quest.adventurersguild.AG_END_024.desc</x:v>
      </x:c>
      <x:c r="F26" s="7" t="str">
        <x:v>completed</x:v>
      </x:c>
      <x:c r="G26" s="7" t="n">
        <x:v>200</x:v>
      </x:c>
      <x:c r="H26" s="7" t="str"/>
      <x:c r="I26" s="7" t="n">
        <x:v>0</x:v>
      </x:c>
      <x:c r="J26" s="8" t="n">
        <x:v>500</x:v>
      </x:c>
      <x:c r="K26" s="8" t="n">
        <x:v>500</x:v>
      </x:c>
      <x:c r="L26" s="7" t="n">
        <x:v>150</x:v>
      </x:c>
      <x:c r="M26" s="7" t="n">
        <x:v>6</x:v>
      </x:c>
      <x:c r="N26" s="7" t="n">
        <x:v>6</x:v>
      </x:c>
      <x:c r="O26" s="7" t="n">
        <x:v>0</x:v>
      </x:c>
      <x:c r="P26" s="8" t="n">
        <x:v>0</x:v>
      </x:c>
      <x:c r="Q26" s="7" t="str"/>
    </x:row>
    <x:row r="27">
      <x:c r="A27" s="7" t="str">
        <x:v>AG_MAIN_000</x:v>
      </x:c>
      <x:c r="B27" s="7" t="str">
        <x:v>MILESTONE</x:v>
      </x:c>
      <x:c r="C27" s="7" t="str">
        <x:v>RARE</x:v>
      </x:c>
      <x:c r="D27" s="7" t="str">
        <x:v>quest.adventurersguild.AG_MAIN_000.title</x:v>
      </x:c>
      <x:c r="E27" s="7" t="str">
        <x:v>quest.adventurersguild.AG_MAIN_000.desc</x:v>
      </x:c>
      <x:c r="F27" s="7" t="str">
        <x:v>EVENT_GUILD_FOUND</x:v>
      </x:c>
      <x:c r="G27" s="7" t="n">
        <x:v>1</x:v>
      </x:c>
      <x:c r="H27" s="7" t="str"/>
      <x:c r="I27" s="7" t="n">
        <x:v>0</x:v>
      </x:c>
      <x:c r="J27" s="8" t="n">
        <x:v>0</x:v>
      </x:c>
      <x:c r="K27" s="8" t="n">
        <x:v>30</x:v>
      </x:c>
      <x:c r="L27" s="7" t="n">
        <x:v>15</x:v>
      </x:c>
      <x:c r="M27" s="7" t="n">
        <x:v>1</x:v>
      </x:c>
      <x:c r="N27" s="7" t="n">
        <x:v>1</x:v>
      </x:c>
      <x:c r="O27" s="7" t="n">
        <x:v>0</x:v>
      </x:c>
      <x:c r="P27" s="8" t="n">
        <x:v>0</x:v>
      </x:c>
      <x:c r="Q27" s="7" t="str"/>
    </x:row>
    <x:row r="28">
      <x:c r="A28" s="7" t="str">
        <x:v>AG_MAIN_001</x:v>
      </x:c>
      <x:c r="B28" s="7" t="str">
        <x:v>MILESTONE</x:v>
      </x:c>
      <x:c r="C28" s="7" t="str">
        <x:v>RARE</x:v>
      </x:c>
      <x:c r="D28" s="7" t="str">
        <x:v>quest.adventurersguild.AG_MAIN_001.title</x:v>
      </x:c>
      <x:c r="E28" s="7" t="str">
        <x:v>quest.adventurersguild.AG_MAIN_001.desc</x:v>
      </x:c>
      <x:c r="F28" s="7" t="str">
        <x:v>EVENT_GUILD_REGISTER</x:v>
      </x:c>
      <x:c r="G28" s="7" t="n">
        <x:v>1</x:v>
      </x:c>
      <x:c r="H28" s="7" t="str"/>
      <x:c r="I28" s="7" t="n">
        <x:v>0</x:v>
      </x:c>
      <x:c r="J28" s="8" t="n">
        <x:v>0</x:v>
      </x:c>
      <x:c r="K28" s="8" t="n">
        <x:v>30</x:v>
      </x:c>
      <x:c r="L28" s="7" t="n">
        <x:v>15</x:v>
      </x:c>
      <x:c r="M28" s="7" t="n">
        <x:v>1</x:v>
      </x:c>
      <x:c r="N28" s="7" t="n">
        <x:v>1</x:v>
      </x:c>
      <x:c r="O28" s="7" t="n">
        <x:v>0</x:v>
      </x:c>
      <x:c r="P28" s="8" t="n">
        <x:v>0</x:v>
      </x:c>
      <x:c r="Q28" s="7" t="str"/>
    </x:row>
    <x:row r="29">
      <x:c r="A29" s="7" t="str">
        <x:v>AG_MAIN_002</x:v>
      </x:c>
      <x:c r="B29" s="7" t="str">
        <x:v>ACHIEVEMENT</x:v>
      </x:c>
      <x:c r="C29" s="7" t="str">
        <x:v>RARE</x:v>
      </x:c>
      <x:c r="D29" s="7" t="str">
        <x:v>quest.adventurersguild.AG_MAIN_002.title</x:v>
      </x:c>
      <x:c r="E29" s="7" t="str">
        <x:v>quest.adventurersguild.AG_MAIN_002.desc</x:v>
      </x:c>
      <x:c r="F29" s="7" t="str">
        <x:v>completed</x:v>
      </x:c>
      <x:c r="G29" s="7" t="n">
        <x:v>1</x:v>
      </x:c>
      <x:c r="H29" s="7" t="str"/>
      <x:c r="I29" s="7" t="n">
        <x:v>0</x:v>
      </x:c>
      <x:c r="J29" s="8" t="n">
        <x:v>20</x:v>
      </x:c>
      <x:c r="K29" s="8" t="n">
        <x:v>40</x:v>
      </x:c>
      <x:c r="L29" s="7" t="n">
        <x:v>20</x:v>
      </x:c>
      <x:c r="M29" s="7" t="n">
        <x:v>1</x:v>
      </x:c>
      <x:c r="N29" s="7" t="n">
        <x:v>1</x:v>
      </x:c>
      <x:c r="O29" s="7" t="n">
        <x:v>0</x:v>
      </x:c>
      <x:c r="P29" s="8" t="n">
        <x:v>0</x:v>
      </x:c>
      <x:c r="Q29" s="7" t="str"/>
    </x:row>
    <x:row r="30">
      <x:c r="A30" s="7" t="str">
        <x:v>AG_MAIN_101</x:v>
      </x:c>
      <x:c r="B30" s="7" t="str">
        <x:v>EXPLORE</x:v>
      </x:c>
      <x:c r="C30" s="7" t="str">
        <x:v>RARE</x:v>
      </x:c>
      <x:c r="D30" s="7" t="str">
        <x:v>quest.adventurersguild.AG_MAIN_101.title</x:v>
      </x:c>
      <x:c r="E30" s="7" t="str">
        <x:v>quest.adventurersguild.AG_MAIN_101.desc</x:v>
      </x:c>
      <x:c r="F30" s="7" t="str">
        <x:v>minecraft:forest</x:v>
      </x:c>
      <x:c r="G30" s="7" t="n">
        <x:v>0</x:v>
      </x:c>
      <x:c r="H30" s="7" t="str"/>
      <x:c r="I30" s="7" t="n">
        <x:v>0</x:v>
      </x:c>
      <x:c r="J30" s="8" t="n">
        <x:v>0</x:v>
      </x:c>
      <x:c r="K30" s="8" t="n">
        <x:v>50</x:v>
      </x:c>
      <x:c r="L30" s="7" t="n">
        <x:v>20</x:v>
      </x:c>
      <x:c r="M30" s="7" t="n">
        <x:v>1</x:v>
      </x:c>
      <x:c r="N30" s="7" t="n">
        <x:v>1</x:v>
      </x:c>
      <x:c r="O30" s="7" t="n">
        <x:v>0</x:v>
      </x:c>
      <x:c r="P30" s="8" t="n">
        <x:v>0</x:v>
      </x:c>
      <x:c r="Q30" s="7" t="str"/>
    </x:row>
    <x:row r="31">
      <x:c r="A31" s="7" t="str">
        <x:v>AG_MAIN_102</x:v>
      </x:c>
      <x:c r="B31" s="7" t="str">
        <x:v>COLLECT</x:v>
      </x:c>
      <x:c r="C31" s="7" t="str">
        <x:v>UNCOMMON</x:v>
      </x:c>
      <x:c r="D31" s="7" t="str">
        <x:v>quest.adventurersguild.AG_MAIN_102.title</x:v>
      </x:c>
      <x:c r="E31" s="7" t="str">
        <x:v>quest.adventurersguild.AG_MAIN_102.desc</x:v>
      </x:c>
      <x:c r="F31" s="7" t="str">
        <x:v>minecraft:cooked_beef</x:v>
      </x:c>
      <x:c r="G31" s="7" t="n">
        <x:v>8</x:v>
      </x:c>
      <x:c r="H31" s="7" t="str"/>
      <x:c r="I31" s="7" t="n">
        <x:v>0</x:v>
      </x:c>
      <x:c r="J31" s="8" t="n">
        <x:v>10</x:v>
      </x:c>
      <x:c r="K31" s="8" t="n">
        <x:v>40</x:v>
      </x:c>
      <x:c r="L31" s="7" t="n">
        <x:v>15</x:v>
      </x:c>
      <x:c r="M31" s="7" t="n">
        <x:v>1</x:v>
      </x:c>
      <x:c r="N31" s="7" t="n">
        <x:v>1</x:v>
      </x:c>
      <x:c r="O31" s="7" t="n">
        <x:v>0</x:v>
      </x:c>
      <x:c r="P31" s="8" t="n">
        <x:v>0</x:v>
      </x:c>
      <x:c r="Q31" s="7" t="str"/>
    </x:row>
    <x:row r="32">
      <x:c r="A32" s="7" t="str">
        <x:v>AG_MAIN_103</x:v>
      </x:c>
      <x:c r="B32" s="7" t="str">
        <x:v>COLLECT</x:v>
      </x:c>
      <x:c r="C32" s="7" t="str">
        <x:v>UNCOMMON</x:v>
      </x:c>
      <x:c r="D32" s="7" t="str">
        <x:v>quest.adventurersguild.AG_MAIN_103.title</x:v>
      </x:c>
      <x:c r="E32" s="7" t="str">
        <x:v>quest.adventurersguild.AG_MAIN_103.desc</x:v>
      </x:c>
      <x:c r="F32" s="7" t="str">
        <x:v>minecraft:deepslate</x:v>
      </x:c>
      <x:c r="G32" s="7" t="n">
        <x:v>16</x:v>
      </x:c>
      <x:c r="H32" s="7" t="str"/>
      <x:c r="I32" s="7" t="n">
        <x:v>0</x:v>
      </x:c>
      <x:c r="J32" s="8" t="n">
        <x:v>10</x:v>
      </x:c>
      <x:c r="K32" s="8" t="n">
        <x:v>45</x:v>
      </x:c>
      <x:c r="L32" s="7" t="n">
        <x:v>15</x:v>
      </x:c>
      <x:c r="M32" s="7" t="n">
        <x:v>1</x:v>
      </x:c>
      <x:c r="N32" s="7" t="n">
        <x:v>1</x:v>
      </x:c>
      <x:c r="O32" s="7" t="n">
        <x:v>0</x:v>
      </x:c>
      <x:c r="P32" s="8" t="n">
        <x:v>0</x:v>
      </x:c>
      <x:c r="Q32" s="7" t="str"/>
    </x:row>
    <x:row r="33">
      <x:c r="A33" s="7" t="str">
        <x:v>AG_MAIN_104</x:v>
      </x:c>
      <x:c r="B33" s="7" t="str">
        <x:v>EXPLORE</x:v>
      </x:c>
      <x:c r="C33" s="7" t="str">
        <x:v>RARE</x:v>
      </x:c>
      <x:c r="D33" s="7" t="str">
        <x:v>quest.adventurersguild.AG_MAIN_104.title</x:v>
      </x:c>
      <x:c r="E33" s="7" t="str">
        <x:v>quest.adventurersguild.AG_MAIN_104.desc</x:v>
      </x:c>
      <x:c r="F33" s="7" t="str">
        <x:v>minecraft:desert</x:v>
      </x:c>
      <x:c r="G33" s="7" t="n">
        <x:v>0</x:v>
      </x:c>
      <x:c r="H33" s="7" t="str"/>
      <x:c r="I33" s="7" t="n">
        <x:v>0</x:v>
      </x:c>
      <x:c r="J33" s="8" t="n">
        <x:v>0</x:v>
      </x:c>
      <x:c r="K33" s="8" t="n">
        <x:v>50</x:v>
      </x:c>
      <x:c r="L33" s="7" t="n">
        <x:v>20</x:v>
      </x:c>
      <x:c r="M33" s="7" t="n">
        <x:v>1</x:v>
      </x:c>
      <x:c r="N33" s="7" t="n">
        <x:v>1</x:v>
      </x:c>
      <x:c r="O33" s="7" t="n">
        <x:v>0</x:v>
      </x:c>
      <x:c r="P33" s="8" t="n">
        <x:v>0</x:v>
      </x:c>
      <x:c r="Q33" s="7" t="str"/>
    </x:row>
    <x:row r="34">
      <x:c r="A34" s="7" t="str">
        <x:v>AG_MAIN_105</x:v>
      </x:c>
      <x:c r="B34" s="7" t="str">
        <x:v>MILESTONE</x:v>
      </x:c>
      <x:c r="C34" s="7" t="str">
        <x:v>RARE</x:v>
      </x:c>
      <x:c r="D34" s="7" t="str">
        <x:v>quest.adventurersguild.AG_MAIN_105.title</x:v>
      </x:c>
      <x:c r="E34" s="7" t="str">
        <x:v>quest.adventurersguild.AG_MAIN_105.desc</x:v>
      </x:c>
      <x:c r="F34" s="7" t="str">
        <x:v>EVENT_FIRST_NETHER</x:v>
      </x:c>
      <x:c r="G34" s="7" t="n">
        <x:v>1</x:v>
      </x:c>
      <x:c r="H34" s="7" t="str"/>
      <x:c r="I34" s="7" t="n">
        <x:v>0</x:v>
      </x:c>
      <x:c r="J34" s="8" t="n">
        <x:v>0</x:v>
      </x:c>
      <x:c r="K34" s="8" t="n">
        <x:v>60</x:v>
      </x:c>
      <x:c r="L34" s="7" t="n">
        <x:v>25</x:v>
      </x:c>
      <x:c r="M34" s="7" t="n">
        <x:v>2</x:v>
      </x:c>
      <x:c r="N34" s="7" t="n">
        <x:v>1</x:v>
      </x:c>
      <x:c r="O34" s="7" t="n">
        <x:v>0</x:v>
      </x:c>
      <x:c r="P34" s="8" t="n">
        <x:v>0</x:v>
      </x:c>
      <x:c r="Q34" s="7" t="str"/>
    </x:row>
    <x:row r="35">
      <x:c r="A35" s="7" t="str">
        <x:v>AG_MAIN_201</x:v>
      </x:c>
      <x:c r="B35" s="7" t="str">
        <x:v>SURVIVE</x:v>
      </x:c>
      <x:c r="C35" s="7" t="str">
        <x:v>RARE</x:v>
      </x:c>
      <x:c r="D35" s="7" t="str">
        <x:v>quest.adventurersguild.AG_MAIN_201.title</x:v>
      </x:c>
      <x:c r="E35" s="7" t="str">
        <x:v>quest.adventurersguild.AG_MAIN_201.desc</x:v>
      </x:c>
      <x:c r="F35" s="7" t="str">
        <x:v>minecraft:the_nether</x:v>
      </x:c>
      <x:c r="G35" s="7" t="n">
        <x:v>60</x:v>
      </x:c>
      <x:c r="H35" s="7" t="str">
        <x:v>dimension</x:v>
      </x:c>
      <x:c r="I35" s="7" t="n">
        <x:v>0</x:v>
      </x:c>
      <x:c r="J35" s="8" t="n">
        <x:v>0</x:v>
      </x:c>
      <x:c r="K35" s="8" t="n">
        <x:v>60</x:v>
      </x:c>
      <x:c r="L35" s="7" t="n">
        <x:v>20</x:v>
      </x:c>
      <x:c r="M35" s="7" t="n">
        <x:v>2</x:v>
      </x:c>
      <x:c r="N35" s="7" t="n">
        <x:v>2</x:v>
      </x:c>
      <x:c r="O35" s="7" t="n">
        <x:v>0</x:v>
      </x:c>
      <x:c r="P35" s="8" t="n">
        <x:v>0</x:v>
      </x:c>
      <x:c r="Q35" s="7" t="str"/>
    </x:row>
    <x:row r="36">
      <x:c r="A36" s="7" t="str">
        <x:v>AG_MAIN_202</x:v>
      </x:c>
      <x:c r="B36" s="7" t="str">
        <x:v>MILESTONE</x:v>
      </x:c>
      <x:c r="C36" s="7" t="str">
        <x:v>RARE</x:v>
      </x:c>
      <x:c r="D36" s="7" t="str">
        <x:v>quest.adventurersguild.AG_MAIN_202.title</x:v>
      </x:c>
      <x:c r="E36" s="7" t="str">
        <x:v>quest.adventurersguild.AG_MAIN_202.desc</x:v>
      </x:c>
      <x:c r="F36" s="7" t="str">
        <x:v>EVENT_NETHER_FORTRESS</x:v>
      </x:c>
      <x:c r="G36" s="7" t="n">
        <x:v>1</x:v>
      </x:c>
      <x:c r="H36" s="7" t="str"/>
      <x:c r="I36" s="7" t="n">
        <x:v>0</x:v>
      </x:c>
      <x:c r="J36" s="8" t="n">
        <x:v>0</x:v>
      </x:c>
      <x:c r="K36" s="8" t="n">
        <x:v>70</x:v>
      </x:c>
      <x:c r="L36" s="7" t="n">
        <x:v>25</x:v>
      </x:c>
      <x:c r="M36" s="7" t="n">
        <x:v>2</x:v>
      </x:c>
      <x:c r="N36" s="7" t="n">
        <x:v>2</x:v>
      </x:c>
      <x:c r="O36" s="7" t="n">
        <x:v>0</x:v>
      </x:c>
      <x:c r="P36" s="8" t="n">
        <x:v>0</x:v>
      </x:c>
      <x:c r="Q36" s="7" t="str"/>
    </x:row>
    <x:row r="37">
      <x:c r="A37" s="7" t="str">
        <x:v>AG_MAIN_203</x:v>
      </x:c>
      <x:c r="B37" s="7" t="str">
        <x:v>COLLECT</x:v>
      </x:c>
      <x:c r="C37" s="7" t="str">
        <x:v>RARE</x:v>
      </x:c>
      <x:c r="D37" s="7" t="str">
        <x:v>quest.adventurersguild.AG_MAIN_203.title</x:v>
      </x:c>
      <x:c r="E37" s="7" t="str">
        <x:v>quest.adventurersguild.AG_MAIN_203.desc</x:v>
      </x:c>
      <x:c r="F37" s="7" t="str">
        <x:v>minecraft:blaze_rod</x:v>
      </x:c>
      <x:c r="G37" s="7" t="n">
        <x:v>4</x:v>
      </x:c>
      <x:c r="H37" s="7" t="str"/>
      <x:c r="I37" s="7" t="n">
        <x:v>0</x:v>
      </x:c>
      <x:c r="J37" s="8" t="n">
        <x:v>20</x:v>
      </x:c>
      <x:c r="K37" s="8" t="n">
        <x:v>70</x:v>
      </x:c>
      <x:c r="L37" s="7" t="n">
        <x:v>25</x:v>
      </x:c>
      <x:c r="M37" s="7" t="n">
        <x:v>2</x:v>
      </x:c>
      <x:c r="N37" s="7" t="n">
        <x:v>2</x:v>
      </x:c>
      <x:c r="O37" s="7" t="n">
        <x:v>0</x:v>
      </x:c>
      <x:c r="P37" s="8" t="n">
        <x:v>0</x:v>
      </x:c>
      <x:c r="Q37" s="7" t="str"/>
    </x:row>
    <x:row r="38">
      <x:c r="A38" s="7" t="str">
        <x:v>AG_MAIN_204</x:v>
      </x:c>
      <x:c r="B38" s="7" t="str">
        <x:v>INTERACT</x:v>
      </x:c>
      <x:c r="C38" s="7" t="str">
        <x:v>RARE</x:v>
      </x:c>
      <x:c r="D38" s="7" t="str">
        <x:v>quest.adventurersguild.AG_MAIN_204.title</x:v>
      </x:c>
      <x:c r="E38" s="7" t="str">
        <x:v>quest.adventurersguild.AG_MAIN_204.desc</x:v>
      </x:c>
      <x:c r="F38" s="7" t="str">
        <x:v>expedition_master</x:v>
      </x:c>
      <x:c r="G38" s="7" t="n">
        <x:v>1</x:v>
      </x:c>
      <x:c r="H38" s="7" t="str"/>
      <x:c r="I38" s="7" t="n">
        <x:v>0</x:v>
      </x:c>
      <x:c r="J38" s="8" t="n">
        <x:v>0</x:v>
      </x:c>
      <x:c r="K38" s="8" t="n">
        <x:v>40</x:v>
      </x:c>
      <x:c r="L38" s="7" t="n">
        <x:v>15</x:v>
      </x:c>
      <x:c r="M38" s="7" t="n">
        <x:v>2</x:v>
      </x:c>
      <x:c r="N38" s="7" t="n">
        <x:v>2</x:v>
      </x:c>
      <x:c r="O38" s="7" t="n">
        <x:v>0</x:v>
      </x:c>
      <x:c r="P38" s="8" t="n">
        <x:v>0</x:v>
      </x:c>
      <x:c r="Q38" s="7" t="str"/>
    </x:row>
    <x:row r="39">
      <x:c r="A39" s="7" t="str">
        <x:v>AG_MAIN_205</x:v>
      </x:c>
      <x:c r="B39" s="7" t="str">
        <x:v>COLLECT</x:v>
      </x:c>
      <x:c r="C39" s="7" t="str">
        <x:v>RARE</x:v>
      </x:c>
      <x:c r="D39" s="7" t="str">
        <x:v>quest.adventurersguild.AG_MAIN_205.title</x:v>
      </x:c>
      <x:c r="E39" s="7" t="str">
        <x:v>quest.adventurersguild.AG_MAIN_205.desc</x:v>
      </x:c>
      <x:c r="F39" s="7" t="str">
        <x:v>minecraft:ender_pearl</x:v>
      </x:c>
      <x:c r="G39" s="7" t="n">
        <x:v>2</x:v>
      </x:c>
      <x:c r="H39" s="7" t="str"/>
      <x:c r="I39" s="7" t="n">
        <x:v>0</x:v>
      </x:c>
      <x:c r="J39" s="8" t="n">
        <x:v>20</x:v>
      </x:c>
      <x:c r="K39" s="8" t="n">
        <x:v>60</x:v>
      </x:c>
      <x:c r="L39" s="7" t="n">
        <x:v>20</x:v>
      </x:c>
      <x:c r="M39" s="7" t="n">
        <x:v>2</x:v>
      </x:c>
      <x:c r="N39" s="7" t="n">
        <x:v>2</x:v>
      </x:c>
      <x:c r="O39" s="7" t="n">
        <x:v>0</x:v>
      </x:c>
      <x:c r="P39" s="8" t="n">
        <x:v>0</x:v>
      </x:c>
      <x:c r="Q39" s="7" t="str"/>
    </x:row>
    <x:row r="40">
      <x:c r="A40" s="7" t="str">
        <x:v>AG_MAIN_206</x:v>
      </x:c>
      <x:c r="B40" s="7" t="str">
        <x:v>MILESTONE</x:v>
      </x:c>
      <x:c r="C40" s="7" t="str">
        <x:v>RARE</x:v>
      </x:c>
      <x:c r="D40" s="7" t="str">
        <x:v>quest.adventurersguild.AG_MAIN_206.title</x:v>
      </x:c>
      <x:c r="E40" s="7" t="str">
        <x:v>quest.adventurersguild.AG_MAIN_206.desc</x:v>
      </x:c>
      <x:c r="F40" s="7" t="str">
        <x:v>EVENT_FIRST_ENDER_EYE</x:v>
      </x:c>
      <x:c r="G40" s="7" t="n">
        <x:v>1</x:v>
      </x:c>
      <x:c r="H40" s="7" t="str"/>
      <x:c r="I40" s="7" t="n">
        <x:v>0</x:v>
      </x:c>
      <x:c r="J40" s="8" t="n">
        <x:v>0</x:v>
      </x:c>
      <x:c r="K40" s="8" t="n">
        <x:v>60</x:v>
      </x:c>
      <x:c r="L40" s="7" t="n">
        <x:v>20</x:v>
      </x:c>
      <x:c r="M40" s="7" t="n">
        <x:v>2</x:v>
      </x:c>
      <x:c r="N40" s="7" t="n">
        <x:v>2</x:v>
      </x:c>
      <x:c r="O40" s="7" t="n">
        <x:v>0</x:v>
      </x:c>
      <x:c r="P40" s="8" t="n">
        <x:v>0</x:v>
      </x:c>
      <x:c r="Q40" s="7" t="str"/>
    </x:row>
    <x:row r="41">
      <x:c r="A41" s="7" t="str">
        <x:v>AG_MAIN_207</x:v>
      </x:c>
      <x:c r="B41" s="7" t="str">
        <x:v>MILESTONE</x:v>
      </x:c>
      <x:c r="C41" s="7" t="str">
        <x:v>EPIC</x:v>
      </x:c>
      <x:c r="D41" s="7" t="str">
        <x:v>quest.adventurersguild.AG_MAIN_207.title</x:v>
      </x:c>
      <x:c r="E41" s="7" t="str">
        <x:v>quest.adventurersguild.AG_MAIN_207.desc</x:v>
      </x:c>
      <x:c r="F41" s="7" t="str">
        <x:v>EVENT_STRONGHOLD_FOUND</x:v>
      </x:c>
      <x:c r="G41" s="7" t="n">
        <x:v>1</x:v>
      </x:c>
      <x:c r="H41" s="7" t="str"/>
      <x:c r="I41" s="7" t="n">
        <x:v>0</x:v>
      </x:c>
      <x:c r="J41" s="8" t="n">
        <x:v>0</x:v>
      </x:c>
      <x:c r="K41" s="8" t="n">
        <x:v>80</x:v>
      </x:c>
      <x:c r="L41" s="7" t="n">
        <x:v>30</x:v>
      </x:c>
      <x:c r="M41" s="7" t="n">
        <x:v>3</x:v>
      </x:c>
      <x:c r="N41" s="7" t="n">
        <x:v>3</x:v>
      </x:c>
      <x:c r="O41" s="7" t="n">
        <x:v>0</x:v>
      </x:c>
      <x:c r="P41" s="8" t="n">
        <x:v>0</x:v>
      </x:c>
      <x:c r="Q41" s="7" t="str"/>
    </x:row>
    <x:row r="42">
      <x:c r="A42" s="7" t="str">
        <x:v>AG_MAIN_208</x:v>
      </x:c>
      <x:c r="B42" s="7" t="str">
        <x:v>MILESTONE</x:v>
      </x:c>
      <x:c r="C42" s="7" t="str">
        <x:v>EPIC</x:v>
      </x:c>
      <x:c r="D42" s="7" t="str">
        <x:v>quest.adventurersguild.AG_MAIN_208.title</x:v>
      </x:c>
      <x:c r="E42" s="7" t="str">
        <x:v>quest.adventurersguild.AG_MAIN_208.desc</x:v>
      </x:c>
      <x:c r="F42" s="7" t="str">
        <x:v>EVENT_END_PORTAL_OPEN</x:v>
      </x:c>
      <x:c r="G42" s="7" t="n">
        <x:v>1</x:v>
      </x:c>
      <x:c r="H42" s="7" t="str"/>
      <x:c r="I42" s="7" t="n">
        <x:v>0</x:v>
      </x:c>
      <x:c r="J42" s="8" t="n">
        <x:v>0</x:v>
      </x:c>
      <x:c r="K42" s="8" t="n">
        <x:v>80</x:v>
      </x:c>
      <x:c r="L42" s="7" t="n">
        <x:v>30</x:v>
      </x:c>
      <x:c r="M42" s="7" t="n">
        <x:v>3</x:v>
      </x:c>
      <x:c r="N42" s="7" t="n">
        <x:v>3</x:v>
      </x:c>
      <x:c r="O42" s="7" t="n">
        <x:v>0</x:v>
      </x:c>
      <x:c r="P42" s="8" t="n">
        <x:v>0</x:v>
      </x:c>
      <x:c r="Q42" s="7" t="str"/>
    </x:row>
    <x:row r="43">
      <x:c r="A43" s="7" t="str">
        <x:v>AG_MAIN_301</x:v>
      </x:c>
      <x:c r="B43" s="7" t="str">
        <x:v>MILESTONE</x:v>
      </x:c>
      <x:c r="C43" s="7" t="str">
        <x:v>EPIC</x:v>
      </x:c>
      <x:c r="D43" s="7" t="str">
        <x:v>quest.adventurersguild.AG_MAIN_301.title</x:v>
      </x:c>
      <x:c r="E43" s="7" t="str">
        <x:v>quest.adventurersguild.AG_MAIN_301.desc</x:v>
      </x:c>
      <x:c r="F43" s="7" t="str">
        <x:v>EVENT_FIRST_END</x:v>
      </x:c>
      <x:c r="G43" s="7" t="n">
        <x:v>1</x:v>
      </x:c>
      <x:c r="H43" s="7" t="str"/>
      <x:c r="I43" s="7" t="n">
        <x:v>0</x:v>
      </x:c>
      <x:c r="J43" s="8" t="n">
        <x:v>0</x:v>
      </x:c>
      <x:c r="K43" s="8" t="n">
        <x:v>80</x:v>
      </x:c>
      <x:c r="L43" s="7" t="n">
        <x:v>30</x:v>
      </x:c>
      <x:c r="M43" s="7" t="n">
        <x:v>3</x:v>
      </x:c>
      <x:c r="N43" s="7" t="n">
        <x:v>3</x:v>
      </x:c>
      <x:c r="O43" s="7" t="n">
        <x:v>0</x:v>
      </x:c>
      <x:c r="P43" s="8" t="n">
        <x:v>0</x:v>
      </x:c>
      <x:c r="Q43" s="7" t="str"/>
    </x:row>
    <x:row r="44">
      <x:c r="A44" s="7" t="str">
        <x:v>AG_MAIN_302</x:v>
      </x:c>
      <x:c r="B44" s="7" t="str">
        <x:v>MILESTONE</x:v>
      </x:c>
      <x:c r="C44" s="7" t="str">
        <x:v>EPIC</x:v>
      </x:c>
      <x:c r="D44" s="7" t="str">
        <x:v>quest.adventurersguild.AG_MAIN_302.title</x:v>
      </x:c>
      <x:c r="E44" s="7" t="str">
        <x:v>quest.adventurersguild.AG_MAIN_302.desc</x:v>
      </x:c>
      <x:c r="F44" s="7" t="str">
        <x:v>EVENT_FIRST_DRAGON_ATTACK</x:v>
      </x:c>
      <x:c r="G44" s="7" t="n">
        <x:v>1</x:v>
      </x:c>
      <x:c r="H44" s="7" t="str"/>
      <x:c r="I44" s="7" t="n">
        <x:v>0</x:v>
      </x:c>
      <x:c r="J44" s="8" t="n">
        <x:v>0</x:v>
      </x:c>
      <x:c r="K44" s="8" t="n">
        <x:v>80</x:v>
      </x:c>
      <x:c r="L44" s="7" t="n">
        <x:v>30</x:v>
      </x:c>
      <x:c r="M44" s="7" t="n">
        <x:v>3</x:v>
      </x:c>
      <x:c r="N44" s="7" t="n">
        <x:v>3</x:v>
      </x:c>
      <x:c r="O44" s="7" t="n">
        <x:v>0</x:v>
      </x:c>
      <x:c r="P44" s="8" t="n">
        <x:v>0</x:v>
      </x:c>
      <x:c r="Q44" s="7" t="str"/>
    </x:row>
    <x:row r="45">
      <x:c r="A45" s="7" t="str">
        <x:v>AG_MAIN_303</x:v>
      </x:c>
      <x:c r="B45" s="7" t="str">
        <x:v>ACHIEVEMENT</x:v>
      </x:c>
      <x:c r="C45" s="7" t="str">
        <x:v>EPIC</x:v>
      </x:c>
      <x:c r="D45" s="7" t="str">
        <x:v>quest.adventurersguild.AG_MAIN_303.title</x:v>
      </x:c>
      <x:c r="E45" s="7" t="str">
        <x:v>quest.adventurersguild.AG_MAIN_303.desc</x:v>
      </x:c>
      <x:c r="F45" s="7" t="str">
        <x:v>endCrystals</x:v>
      </x:c>
      <x:c r="G45" s="7" t="n">
        <x:v>1</x:v>
      </x:c>
      <x:c r="H45" s="7" t="str"/>
      <x:c r="I45" s="7" t="n">
        <x:v>0</x:v>
      </x:c>
      <x:c r="J45" s="8" t="n">
        <x:v>0</x:v>
      </x:c>
      <x:c r="K45" s="8" t="n">
        <x:v>80</x:v>
      </x:c>
      <x:c r="L45" s="7" t="n">
        <x:v>30</x:v>
      </x:c>
      <x:c r="M45" s="7" t="n">
        <x:v>3</x:v>
      </x:c>
      <x:c r="N45" s="7" t="n">
        <x:v>3</x:v>
      </x:c>
      <x:c r="O45" s="7" t="n">
        <x:v>0</x:v>
      </x:c>
      <x:c r="P45" s="8" t="n">
        <x:v>0</x:v>
      </x:c>
      <x:c r="Q45" s="7" t="str"/>
    </x:row>
    <x:row r="46">
      <x:c r="A46" s="7" t="str">
        <x:v>AG_MAIN_304</x:v>
      </x:c>
      <x:c r="B46" s="7" t="str">
        <x:v>ACHIEVEMENT</x:v>
      </x:c>
      <x:c r="C46" s="7" t="str">
        <x:v>EPIC</x:v>
      </x:c>
      <x:c r="D46" s="7" t="str">
        <x:v>quest.adventurersguild.AG_MAIN_304.title</x:v>
      </x:c>
      <x:c r="E46" s="7" t="str">
        <x:v>quest.adventurersguild.AG_MAIN_304.desc</x:v>
      </x:c>
      <x:c r="F46" s="7" t="str">
        <x:v>dragonDamage</x:v>
      </x:c>
      <x:c r="G46" s="7" t="n">
        <x:v>1</x:v>
      </x:c>
      <x:c r="H46" s="7" t="str"/>
      <x:c r="I46" s="7" t="n">
        <x:v>0</x:v>
      </x:c>
      <x:c r="J46" s="8" t="n">
        <x:v>0</x:v>
      </x:c>
      <x:c r="K46" s="8" t="n">
        <x:v>80</x:v>
      </x:c>
      <x:c r="L46" s="7" t="n">
        <x:v>30</x:v>
      </x:c>
      <x:c r="M46" s="7" t="n">
        <x:v>3</x:v>
      </x:c>
      <x:c r="N46" s="7" t="n">
        <x:v>3</x:v>
      </x:c>
      <x:c r="O46" s="7" t="n">
        <x:v>0</x:v>
      </x:c>
      <x:c r="P46" s="8" t="n">
        <x:v>0</x:v>
      </x:c>
      <x:c r="Q46" s="7" t="str"/>
    </x:row>
    <x:row r="47">
      <x:c r="A47" s="7" t="str">
        <x:v>AG_MAIN_305</x:v>
      </x:c>
      <x:c r="B47" s="7" t="str">
        <x:v>MILESTONE</x:v>
      </x:c>
      <x:c r="C47" s="7" t="str">
        <x:v>LEGENDARY</x:v>
      </x:c>
      <x:c r="D47" s="7" t="str">
        <x:v>quest.adventurersguild.AG_MAIN_305.title</x:v>
      </x:c>
      <x:c r="E47" s="7" t="str">
        <x:v>quest.adventurersguild.AG_MAIN_305.desc</x:v>
      </x:c>
      <x:c r="F47" s="7" t="str">
        <x:v>EVENT_DRAGON_DEATH</x:v>
      </x:c>
      <x:c r="G47" s="7" t="n">
        <x:v>1</x:v>
      </x:c>
      <x:c r="H47" s="7" t="str"/>
      <x:c r="I47" s="7" t="n">
        <x:v>0</x:v>
      </x:c>
      <x:c r="J47" s="8" t="n">
        <x:v>0</x:v>
      </x:c>
      <x:c r="K47" s="8" t="n">
        <x:v>150</x:v>
      </x:c>
      <x:c r="L47" s="7" t="n">
        <x:v>50</x:v>
      </x:c>
      <x:c r="M47" s="7" t="n">
        <x:v>4</x:v>
      </x:c>
      <x:c r="N47" s="7" t="n">
        <x:v>4</x:v>
      </x:c>
      <x:c r="O47" s="7" t="n">
        <x:v>0</x:v>
      </x:c>
      <x:c r="P47" s="8" t="n">
        <x:v>0</x:v>
      </x:c>
      <x:c r="Q47" s="7" t="str"/>
    </x:row>
    <x:row r="48">
      <x:c r="A48" s="7" t="str">
        <x:v>AG_MAIN_306</x:v>
      </x:c>
      <x:c r="B48" s="7" t="str">
        <x:v>INTERACT</x:v>
      </x:c>
      <x:c r="C48" s="7" t="str">
        <x:v>RARE</x:v>
      </x:c>
      <x:c r="D48" s="7" t="str">
        <x:v>quest.adventurersguild.AG_MAIN_306.title</x:v>
      </x:c>
      <x:c r="E48" s="7" t="str">
        <x:v>quest.adventurersguild.AG_MAIN_306.desc</x:v>
      </x:c>
      <x:c r="F48" s="7" t="str">
        <x:v>questmaster</x:v>
      </x:c>
      <x:c r="G48" s="7" t="n">
        <x:v>1</x:v>
      </x:c>
      <x:c r="H48" s="7" t="str"/>
      <x:c r="I48" s="7" t="n">
        <x:v>0</x:v>
      </x:c>
      <x:c r="J48" s="8" t="n">
        <x:v>0</x:v>
      </x:c>
      <x:c r="K48" s="8" t="n">
        <x:v>50</x:v>
      </x:c>
      <x:c r="L48" s="7" t="n">
        <x:v>20</x:v>
      </x:c>
      <x:c r="M48" s="7" t="n">
        <x:v>3</x:v>
      </x:c>
      <x:c r="N48" s="7" t="n">
        <x:v>3</x:v>
      </x:c>
      <x:c r="O48" s="7" t="n">
        <x:v>0</x:v>
      </x:c>
      <x:c r="P48" s="8" t="n">
        <x:v>0</x:v>
      </x:c>
      <x:c r="Q48" s="7" t="str"/>
    </x:row>
    <x:row r="49">
      <x:c r="A49" s="7" t="str">
        <x:v>AG_MAIN_307</x:v>
      </x:c>
      <x:c r="B49" s="7" t="str">
        <x:v>INTERACT</x:v>
      </x:c>
      <x:c r="C49" s="7" t="str">
        <x:v>RARE</x:v>
      </x:c>
      <x:c r="D49" s="7" t="str">
        <x:v>quest.adventurersguild.AG_MAIN_307.title</x:v>
      </x:c>
      <x:c r="E49" s="7" t="str">
        <x:v>quest.adventurersguild.AG_MAIN_307.desc</x:v>
      </x:c>
      <x:c r="F49" s="7" t="str">
        <x:v>archivist</x:v>
      </x:c>
      <x:c r="G49" s="7" t="n">
        <x:v>1</x:v>
      </x:c>
      <x:c r="H49" s="7" t="str"/>
      <x:c r="I49" s="7" t="n">
        <x:v>0</x:v>
      </x:c>
      <x:c r="J49" s="8" t="n">
        <x:v>0</x:v>
      </x:c>
      <x:c r="K49" s="8" t="n">
        <x:v>50</x:v>
      </x:c>
      <x:c r="L49" s="7" t="n">
        <x:v>20</x:v>
      </x:c>
      <x:c r="M49" s="7" t="n">
        <x:v>3</x:v>
      </x:c>
      <x:c r="N49" s="7" t="n">
        <x:v>3</x:v>
      </x:c>
      <x:c r="O49" s="7" t="n">
        <x:v>0</x:v>
      </x:c>
      <x:c r="P49" s="8" t="n">
        <x:v>0</x:v>
      </x:c>
      <x:c r="Q49" s="7" t="str"/>
    </x:row>
    <x:row r="50">
      <x:c r="A50" s="7" t="str">
        <x:v>AG_MAIN_308</x:v>
      </x:c>
      <x:c r="B50" s="7" t="str">
        <x:v>INTERACT</x:v>
      </x:c>
      <x:c r="C50" s="7" t="str">
        <x:v>RARE</x:v>
      </x:c>
      <x:c r="D50" s="7" t="str">
        <x:v>quest.adventurersguild.AG_MAIN_308.title</x:v>
      </x:c>
      <x:c r="E50" s="7" t="str">
        <x:v>quest.adventurersguild.AG_MAIN_308.desc</x:v>
      </x:c>
      <x:c r="F50" s="7" t="str">
        <x:v>end_researcher</x:v>
      </x:c>
      <x:c r="G50" s="7" t="n">
        <x:v>1</x:v>
      </x:c>
      <x:c r="H50" s="7" t="str"/>
      <x:c r="I50" s="7" t="n">
        <x:v>0</x:v>
      </x:c>
      <x:c r="J50" s="8" t="n">
        <x:v>0</x:v>
      </x:c>
      <x:c r="K50" s="8" t="n">
        <x:v>50</x:v>
      </x:c>
      <x:c r="L50" s="7" t="n">
        <x:v>20</x:v>
      </x:c>
      <x:c r="M50" s="7" t="n">
        <x:v>3</x:v>
      </x:c>
      <x:c r="N50" s="7" t="n">
        <x:v>3</x:v>
      </x:c>
      <x:c r="O50" s="7" t="n">
        <x:v>0</x:v>
      </x:c>
      <x:c r="P50" s="8" t="n">
        <x:v>0</x:v>
      </x:c>
      <x:c r="Q50" s="7" t="str"/>
    </x:row>
    <x:row r="51">
      <x:c r="A51" s="7" t="str">
        <x:v>collect_bones</x:v>
      </x:c>
      <x:c r="B51" s="7" t="str">
        <x:v>COLLECT</x:v>
      </x:c>
      <x:c r="C51" s="7" t="str">
        <x:v>COMMON</x:v>
      </x:c>
      <x:c r="D51" s="7" t="str">
        <x:v>quest.adventurersguild.collect_bones.title</x:v>
      </x:c>
      <x:c r="E51" s="7" t="str">
        <x:v>quest.adventurersguild.collect_bones.desc</x:v>
      </x:c>
      <x:c r="F51" s="7" t="str">
        <x:v>minecraft:bone</x:v>
      </x:c>
      <x:c r="G51" s="7" t="n">
        <x:v>20</x:v>
      </x:c>
      <x:c r="H51" s="7" t="str"/>
      <x:c r="I51" s="7" t="n">
        <x:v>0</x:v>
      </x:c>
      <x:c r="J51" s="8" t="n">
        <x:v>45</x:v>
      </x:c>
      <x:c r="K51" s="8" t="n">
        <x:v>30</x:v>
      </x:c>
      <x:c r="L51" s="7" t="n">
        <x:v>10</x:v>
      </x:c>
      <x:c r="M51" s="7" t="n">
        <x:v>1</x:v>
      </x:c>
      <x:c r="N51" s="7" t="n">
        <x:v>1</x:v>
      </x:c>
      <x:c r="O51" s="7" t="n">
        <x:v>0</x:v>
      </x:c>
      <x:c r="P51" s="8" t="n">
        <x:v>1800</x:v>
      </x:c>
      <x:c r="Q51" s="7" t="str"/>
    </x:row>
    <x:row r="52">
      <x:c r="A52" s="7" t="str">
        <x:v>collect_coal</x:v>
      </x:c>
      <x:c r="B52" s="7" t="str">
        <x:v>COLLECT</x:v>
      </x:c>
      <x:c r="C52" s="7" t="str">
        <x:v>COMMON</x:v>
      </x:c>
      <x:c r="D52" s="7" t="str">
        <x:v>quest.adventurersguild.collect_coal.title</x:v>
      </x:c>
      <x:c r="E52" s="7" t="str">
        <x:v>quest.adventurersguild.collect_coal.desc</x:v>
      </x:c>
      <x:c r="F52" s="7" t="str">
        <x:v>minecraft:coal</x:v>
      </x:c>
      <x:c r="G52" s="7" t="n">
        <x:v>24</x:v>
      </x:c>
      <x:c r="H52" s="7" t="str"/>
      <x:c r="I52" s="7" t="n">
        <x:v>0</x:v>
      </x:c>
      <x:c r="J52" s="8" t="n">
        <x:v>40</x:v>
      </x:c>
      <x:c r="K52" s="8" t="n">
        <x:v>25</x:v>
      </x:c>
      <x:c r="L52" s="7" t="n">
        <x:v>10</x:v>
      </x:c>
      <x:c r="M52" s="7" t="n">
        <x:v>1</x:v>
      </x:c>
      <x:c r="N52" s="7" t="n">
        <x:v>1</x:v>
      </x:c>
      <x:c r="O52" s="7" t="n">
        <x:v>0</x:v>
      </x:c>
      <x:c r="P52" s="8" t="n">
        <x:v>1800</x:v>
      </x:c>
      <x:c r="Q52" s="7" t="str"/>
    </x:row>
    <x:row r="53">
      <x:c r="A53" s="7" t="str">
        <x:v>collect_diamonds</x:v>
      </x:c>
      <x:c r="B53" s="7" t="str">
        <x:v>COLLECT</x:v>
      </x:c>
      <x:c r="C53" s="7" t="str">
        <x:v>RARE</x:v>
      </x:c>
      <x:c r="D53" s="7" t="str">
        <x:v>quest.adventurersguild.collect_diamonds.title</x:v>
      </x:c>
      <x:c r="E53" s="7" t="str">
        <x:v>quest.adventurersguild.collect_diamonds.desc</x:v>
      </x:c>
      <x:c r="F53" s="7" t="str">
        <x:v>minecraft:diamond</x:v>
      </x:c>
      <x:c r="G53" s="7" t="n">
        <x:v>2</x:v>
      </x:c>
      <x:c r="H53" s="7" t="str"/>
      <x:c r="I53" s="7" t="n">
        <x:v>0</x:v>
      </x:c>
      <x:c r="J53" s="8" t="n">
        <x:v>120</x:v>
      </x:c>
      <x:c r="K53" s="8" t="n">
        <x:v>80</x:v>
      </x:c>
      <x:c r="L53" s="7" t="n">
        <x:v>25</x:v>
      </x:c>
      <x:c r="M53" s="7" t="n">
        <x:v>3</x:v>
      </x:c>
      <x:c r="N53" s="7" t="n">
        <x:v>3</x:v>
      </x:c>
      <x:c r="O53" s="7" t="n">
        <x:v>0</x:v>
      </x:c>
      <x:c r="P53" s="8" t="n">
        <x:v>3600</x:v>
      </x:c>
      <x:c r="Q53" s="7" t="str"/>
    </x:row>
    <x:row r="54">
      <x:c r="A54" s="7" t="str">
        <x:v>collect_ender_pearls</x:v>
      </x:c>
      <x:c r="B54" s="7" t="str">
        <x:v>COLLECT</x:v>
      </x:c>
      <x:c r="C54" s="7" t="str">
        <x:v>RARE</x:v>
      </x:c>
      <x:c r="D54" s="7" t="str">
        <x:v>quest.adventurersguild.collect_ender_pearls.title</x:v>
      </x:c>
      <x:c r="E54" s="7" t="str">
        <x:v>quest.adventurersguild.collect_ender_pearls.desc</x:v>
      </x:c>
      <x:c r="F54" s="7" t="str">
        <x:v>minecraft:ender_pearl</x:v>
      </x:c>
      <x:c r="G54" s="7" t="n">
        <x:v>4</x:v>
      </x:c>
      <x:c r="H54" s="7" t="str"/>
      <x:c r="I54" s="7" t="n">
        <x:v>0</x:v>
      </x:c>
      <x:c r="J54" s="8" t="n">
        <x:v>90</x:v>
      </x:c>
      <x:c r="K54" s="8" t="n">
        <x:v>60</x:v>
      </x:c>
      <x:c r="L54" s="7" t="n">
        <x:v>25</x:v>
      </x:c>
      <x:c r="M54" s="7" t="n">
        <x:v>3</x:v>
      </x:c>
      <x:c r="N54" s="7" t="n">
        <x:v>3</x:v>
      </x:c>
      <x:c r="O54" s="7" t="n">
        <x:v>0</x:v>
      </x:c>
      <x:c r="P54" s="8" t="n">
        <x:v>3600</x:v>
      </x:c>
      <x:c r="Q54" s="7" t="str"/>
    </x:row>
    <x:row r="55">
      <x:c r="A55" s="7" t="str">
        <x:v>collect_gunpowder</x:v>
      </x:c>
      <x:c r="B55" s="7" t="str">
        <x:v>COLLECT</x:v>
      </x:c>
      <x:c r="C55" s="7" t="str">
        <x:v>UNCOMMON</x:v>
      </x:c>
      <x:c r="D55" s="7" t="str">
        <x:v>quest.adventurersguild.collect_gunpowder.title</x:v>
      </x:c>
      <x:c r="E55" s="7" t="str">
        <x:v>quest.adventurersguild.collect_gunpowder.desc</x:v>
      </x:c>
      <x:c r="F55" s="7" t="str">
        <x:v>minecraft:gunpowder</x:v>
      </x:c>
      <x:c r="G55" s="7" t="n">
        <x:v>12</x:v>
      </x:c>
      <x:c r="H55" s="7" t="str"/>
      <x:c r="I55" s="7" t="n">
        <x:v>0</x:v>
      </x:c>
      <x:c r="J55" s="8" t="n">
        <x:v>50</x:v>
      </x:c>
      <x:c r="K55" s="8" t="n">
        <x:v>35</x:v>
      </x:c>
      <x:c r="L55" s="7" t="n">
        <x:v>15</x:v>
      </x:c>
      <x:c r="M55" s="7" t="n">
        <x:v>2</x:v>
      </x:c>
      <x:c r="N55" s="7" t="n">
        <x:v>2</x:v>
      </x:c>
      <x:c r="O55" s="7" t="n">
        <x:v>0</x:v>
      </x:c>
      <x:c r="P55" s="8" t="n">
        <x:v>2700</x:v>
      </x:c>
      <x:c r="Q55" s="7" t="str"/>
    </x:row>
    <x:row r="56">
      <x:c r="A56" s="7" t="str">
        <x:v>collect_iron_ingots</x:v>
      </x:c>
      <x:c r="B56" s="7" t="str">
        <x:v>COLLECT</x:v>
      </x:c>
      <x:c r="C56" s="7" t="str">
        <x:v>COMMON</x:v>
      </x:c>
      <x:c r="D56" s="7" t="str">
        <x:v>quest.adventurersguild.collect_iron_ingots.title</x:v>
      </x:c>
      <x:c r="E56" s="7" t="str">
        <x:v>quest.adventurersguild.collect_iron_ingots.desc</x:v>
      </x:c>
      <x:c r="F56" s="7" t="str">
        <x:v>minecraft:iron_ingot</x:v>
      </x:c>
      <x:c r="G56" s="7" t="n">
        <x:v>16</x:v>
      </x:c>
      <x:c r="H56" s="7" t="str"/>
      <x:c r="I56" s="7" t="n">
        <x:v>0</x:v>
      </x:c>
      <x:c r="J56" s="8" t="n">
        <x:v>50</x:v>
      </x:c>
      <x:c r="K56" s="8" t="n">
        <x:v>30</x:v>
      </x:c>
      <x:c r="L56" s="7" t="n">
        <x:v>10</x:v>
      </x:c>
      <x:c r="M56" s="7" t="n">
        <x:v>1</x:v>
      </x:c>
      <x:c r="N56" s="7" t="n">
        <x:v>1</x:v>
      </x:c>
      <x:c r="O56" s="7" t="n">
        <x:v>0</x:v>
      </x:c>
      <x:c r="P56" s="8" t="n">
        <x:v>2700</x:v>
      </x:c>
      <x:c r="Q56" s="7" t="str"/>
    </x:row>
    <x:row r="57">
      <x:c r="A57" s="7" t="str">
        <x:v>collect_iron_ore</x:v>
      </x:c>
      <x:c r="B57" s="7" t="str">
        <x:v>COLLECT</x:v>
      </x:c>
      <x:c r="C57" s="7" t="str">
        <x:v>COMMON</x:v>
      </x:c>
      <x:c r="D57" s="7" t="str">
        <x:v>quest.adventurersguild.collect_iron_ore.title</x:v>
      </x:c>
      <x:c r="E57" s="7" t="str">
        <x:v>quest.adventurersguild.collect_iron_ore.desc</x:v>
      </x:c>
      <x:c r="F57" s="7" t="str">
        <x:v>minecraft:raw_iron</x:v>
      </x:c>
      <x:c r="G57" s="7" t="n">
        <x:v>12</x:v>
      </x:c>
      <x:c r="H57" s="7" t="str"/>
      <x:c r="I57" s="7" t="n">
        <x:v>0</x:v>
      </x:c>
      <x:c r="J57" s="8" t="n">
        <x:v>55</x:v>
      </x:c>
      <x:c r="K57" s="8" t="n">
        <x:v>35</x:v>
      </x:c>
      <x:c r="L57" s="7" t="n">
        <x:v>10</x:v>
      </x:c>
      <x:c r="M57" s="7" t="n">
        <x:v>1</x:v>
      </x:c>
      <x:c r="N57" s="7" t="n">
        <x:v>1</x:v>
      </x:c>
      <x:c r="O57" s="7" t="n">
        <x:v>0</x:v>
      </x:c>
      <x:c r="P57" s="8" t="n">
        <x:v>2700</x:v>
      </x:c>
      <x:c r="Q57" s="7" t="str"/>
    </x:row>
    <x:row r="58">
      <x:c r="A58" s="7" t="str">
        <x:v>collect_wheat</x:v>
      </x:c>
      <x:c r="B58" s="7" t="str">
        <x:v>COLLECT</x:v>
      </x:c>
      <x:c r="C58" s="7" t="str">
        <x:v>COMMON</x:v>
      </x:c>
      <x:c r="D58" s="7" t="str">
        <x:v>quest.adventurersguild.collect_wheat.title</x:v>
      </x:c>
      <x:c r="E58" s="7" t="str">
        <x:v>quest.adventurersguild.collect_wheat.desc</x:v>
      </x:c>
      <x:c r="F58" s="7" t="str">
        <x:v>minecraft:wheat</x:v>
      </x:c>
      <x:c r="G58" s="7" t="n">
        <x:v>32</x:v>
      </x:c>
      <x:c r="H58" s="7" t="str"/>
      <x:c r="I58" s="7" t="n">
        <x:v>0</x:v>
      </x:c>
      <x:c r="J58" s="8" t="n">
        <x:v>35</x:v>
      </x:c>
      <x:c r="K58" s="8" t="n">
        <x:v>25</x:v>
      </x:c>
      <x:c r="L58" s="7" t="n">
        <x:v>10</x:v>
      </x:c>
      <x:c r="M58" s="7" t="n">
        <x:v>1</x:v>
      </x:c>
      <x:c r="N58" s="7" t="n">
        <x:v>1</x:v>
      </x:c>
      <x:c r="O58" s="7" t="n">
        <x:v>0</x:v>
      </x:c>
      <x:c r="P58" s="8" t="n">
        <x:v>1800</x:v>
      </x:c>
      <x:c r="Q58" s="7" t="str"/>
    </x:row>
    <x:row r="59">
      <x:c r="A59" s="7" t="str">
        <x:v>collect_wood</x:v>
      </x:c>
      <x:c r="B59" s="7" t="str">
        <x:v>COLLECT</x:v>
      </x:c>
      <x:c r="C59" s="7" t="str">
        <x:v>COMMON</x:v>
      </x:c>
      <x:c r="D59" s="7" t="str">
        <x:v>quest.adventurersguild.collect_wood.title</x:v>
      </x:c>
      <x:c r="E59" s="7" t="str">
        <x:v>quest.adventurersguild.collect_wood.desc</x:v>
      </x:c>
      <x:c r="F59" s="7" t="str">
        <x:v>#minecraft:logs</x:v>
      </x:c>
      <x:c r="G59" s="7" t="n">
        <x:v>10</x:v>
      </x:c>
      <x:c r="H59" s="7" t="str"/>
      <x:c r="I59" s="7" t="n">
        <x:v>0</x:v>
      </x:c>
      <x:c r="J59" s="8" t="n">
        <x:v>30</x:v>
      </x:c>
      <x:c r="K59" s="8" t="n">
        <x:v>20</x:v>
      </x:c>
      <x:c r="L59" s="7" t="n">
        <x:v>10</x:v>
      </x:c>
      <x:c r="M59" s="7" t="n">
        <x:v>1</x:v>
      </x:c>
      <x:c r="N59" s="7" t="n">
        <x:v>1</x:v>
      </x:c>
      <x:c r="O59" s="7" t="n">
        <x:v>0</x:v>
      </x:c>
      <x:c r="P59" s="8" t="n">
        <x:v>1800</x:v>
      </x:c>
      <x:c r="Q59" s="7" t="str"/>
    </x:row>
    <x:row r="60">
      <x:c r="A60" s="7" t="str">
        <x:v>elite_skeletons</x:v>
      </x:c>
      <x:c r="B60" s="7" t="str">
        <x:v>ELITE</x:v>
      </x:c>
      <x:c r="C60" s="7" t="str">
        <x:v>LEGENDARY</x:v>
      </x:c>
      <x:c r="D60" s="7" t="str">
        <x:v>quest.adventurersguild.elite_skeletons.title</x:v>
      </x:c>
      <x:c r="E60" s="7" t="str">
        <x:v>quest.adventurersguild.elite_skeletons.desc</x:v>
      </x:c>
      <x:c r="F60" s="7" t="str">
        <x:v>minecraft:skeleton</x:v>
      </x:c>
      <x:c r="G60" s="7" t="n">
        <x:v>3</x:v>
      </x:c>
      <x:c r="H60" s="7" t="str"/>
      <x:c r="I60" s="7" t="n">
        <x:v>0</x:v>
      </x:c>
      <x:c r="J60" s="8" t="n">
        <x:v>240</x:v>
      </x:c>
      <x:c r="K60" s="8" t="n">
        <x:v>170</x:v>
      </x:c>
      <x:c r="L60" s="7" t="n">
        <x:v>60</x:v>
      </x:c>
      <x:c r="M60" s="7" t="n">
        <x:v>6</x:v>
      </x:c>
      <x:c r="N60" s="7" t="n">
        <x:v>6</x:v>
      </x:c>
      <x:c r="O60" s="7" t="n">
        <x:v>0</x:v>
      </x:c>
      <x:c r="P60" s="8" t="n">
        <x:v>7200</x:v>
      </x:c>
      <x:c r="Q60" s="7" t="str"/>
    </x:row>
    <x:row r="61">
      <x:c r="A61" s="7" t="str">
        <x:v>elite_spiders</x:v>
      </x:c>
      <x:c r="B61" s="7" t="str">
        <x:v>ELITE</x:v>
      </x:c>
      <x:c r="C61" s="7" t="str">
        <x:v>LEGENDARY</x:v>
      </x:c>
      <x:c r="D61" s="7" t="str">
        <x:v>quest.adventurersguild.elite_spiders.title</x:v>
      </x:c>
      <x:c r="E61" s="7" t="str">
        <x:v>quest.adventurersguild.elite_spiders.desc</x:v>
      </x:c>
      <x:c r="F61" s="7" t="str">
        <x:v>minecraft:spider</x:v>
      </x:c>
      <x:c r="G61" s="7" t="n">
        <x:v>3</x:v>
      </x:c>
      <x:c r="H61" s="7" t="str"/>
      <x:c r="I61" s="7" t="n">
        <x:v>0</x:v>
      </x:c>
      <x:c r="J61" s="8" t="n">
        <x:v>220</x:v>
      </x:c>
      <x:c r="K61" s="8" t="n">
        <x:v>160</x:v>
      </x:c>
      <x:c r="L61" s="7" t="n">
        <x:v>60</x:v>
      </x:c>
      <x:c r="M61" s="7" t="n">
        <x:v>6</x:v>
      </x:c>
      <x:c r="N61" s="7" t="n">
        <x:v>6</x:v>
      </x:c>
      <x:c r="O61" s="7" t="n">
        <x:v>0</x:v>
      </x:c>
      <x:c r="P61" s="8" t="n">
        <x:v>7200</x:v>
      </x:c>
      <x:c r="Q61" s="7" t="str"/>
    </x:row>
    <x:row r="62">
      <x:c r="A62" s="7" t="str">
        <x:v>elite_zombies</x:v>
      </x:c>
      <x:c r="B62" s="7" t="str">
        <x:v>ELITE</x:v>
      </x:c>
      <x:c r="C62" s="7" t="str">
        <x:v>LEGENDARY</x:v>
      </x:c>
      <x:c r="D62" s="7" t="str">
        <x:v>quest.adventurersguild.elite_zombies.title</x:v>
      </x:c>
      <x:c r="E62" s="7" t="str">
        <x:v>quest.adventurersguild.elite_zombies.desc</x:v>
      </x:c>
      <x:c r="F62" s="7" t="str">
        <x:v>minecraft:zombie</x:v>
      </x:c>
      <x:c r="G62" s="7" t="n">
        <x:v>3</x:v>
      </x:c>
      <x:c r="H62" s="7" t="str"/>
      <x:c r="I62" s="7" t="n">
        <x:v>0</x:v>
      </x:c>
      <x:c r="J62" s="8" t="n">
        <x:v>200</x:v>
      </x:c>
      <x:c r="K62" s="8" t="n">
        <x:v>150</x:v>
      </x:c>
      <x:c r="L62" s="7" t="n">
        <x:v>60</x:v>
      </x:c>
      <x:c r="M62" s="7" t="n">
        <x:v>6</x:v>
      </x:c>
      <x:c r="N62" s="7" t="n">
        <x:v>6</x:v>
      </x:c>
      <x:c r="O62" s="7" t="n">
        <x:v>0</x:v>
      </x:c>
      <x:c r="P62" s="8" t="n">
        <x:v>7200</x:v>
      </x:c>
      <x:c r="Q62" s="7" t="str"/>
    </x:row>
    <x:row r="63">
      <x:c r="A63" s="7" t="str">
        <x:v>explore_desert</x:v>
      </x:c>
      <x:c r="B63" s="7" t="str">
        <x:v>EXPLORE</x:v>
      </x:c>
      <x:c r="C63" s="7" t="str">
        <x:v>RARE</x:v>
      </x:c>
      <x:c r="D63" s="7" t="str">
        <x:v>quest.adventurersguild.explore_desert.title</x:v>
      </x:c>
      <x:c r="E63" s="7" t="str">
        <x:v>quest.adventurersguild.explore_desert.desc</x:v>
      </x:c>
      <x:c r="F63" s="7" t="str">
        <x:v>minecraft:desert</x:v>
      </x:c>
      <x:c r="G63" s="7" t="n">
        <x:v>0</x:v>
      </x:c>
      <x:c r="H63" s="7" t="str"/>
      <x:c r="I63" s="7" t="n">
        <x:v>0</x:v>
      </x:c>
      <x:c r="J63" s="8" t="n">
        <x:v>85</x:v>
      </x:c>
      <x:c r="K63" s="8" t="n">
        <x:v>55</x:v>
      </x:c>
      <x:c r="L63" s="7" t="n">
        <x:v>25</x:v>
      </x:c>
      <x:c r="M63" s="7" t="n">
        <x:v>3</x:v>
      </x:c>
      <x:c r="N63" s="7" t="n">
        <x:v>3</x:v>
      </x:c>
      <x:c r="O63" s="7" t="n">
        <x:v>0</x:v>
      </x:c>
      <x:c r="P63" s="8" t="n">
        <x:v>3600</x:v>
      </x:c>
      <x:c r="Q63" s="7" t="str"/>
    </x:row>
    <x:row r="64">
      <x:c r="A64" s="7" t="str">
        <x:v>explore_forest</x:v>
      </x:c>
      <x:c r="B64" s="7" t="str">
        <x:v>EXPLORE</x:v>
      </x:c>
      <x:c r="C64" s="7" t="str">
        <x:v>RARE</x:v>
      </x:c>
      <x:c r="D64" s="7" t="str">
        <x:v>quest.adventurersguild.explore_forest.title</x:v>
      </x:c>
      <x:c r="E64" s="7" t="str">
        <x:v>quest.adventurersguild.explore_forest.desc</x:v>
      </x:c>
      <x:c r="F64" s="7" t="str">
        <x:v>minecraft:forest</x:v>
      </x:c>
      <x:c r="G64" s="7" t="n">
        <x:v>0</x:v>
      </x:c>
      <x:c r="H64" s="7" t="str"/>
      <x:c r="I64" s="7" t="n">
        <x:v>0</x:v>
      </x:c>
      <x:c r="J64" s="8" t="n">
        <x:v>70</x:v>
      </x:c>
      <x:c r="K64" s="8" t="n">
        <x:v>45</x:v>
      </x:c>
      <x:c r="L64" s="7" t="n">
        <x:v>25</x:v>
      </x:c>
      <x:c r="M64" s="7" t="n">
        <x:v>3</x:v>
      </x:c>
      <x:c r="N64" s="7" t="n">
        <x:v>3</x:v>
      </x:c>
      <x:c r="O64" s="7" t="n">
        <x:v>0</x:v>
      </x:c>
      <x:c r="P64" s="8" t="n">
        <x:v>3600</x:v>
      </x:c>
      <x:c r="Q64" s="7" t="str"/>
    </x:row>
    <x:row r="65">
      <x:c r="A65" s="7" t="str">
        <x:v>explore_jungle</x:v>
      </x:c>
      <x:c r="B65" s="7" t="str">
        <x:v>EXPLORE</x:v>
      </x:c>
      <x:c r="C65" s="7" t="str">
        <x:v>RARE</x:v>
      </x:c>
      <x:c r="D65" s="7" t="str">
        <x:v>quest.adventurersguild.explore_jungle.title</x:v>
      </x:c>
      <x:c r="E65" s="7" t="str">
        <x:v>quest.adventurersguild.explore_jungle.desc</x:v>
      </x:c>
      <x:c r="F65" s="7" t="str">
        <x:v>minecraft:jungle</x:v>
      </x:c>
      <x:c r="G65" s="7" t="n">
        <x:v>0</x:v>
      </x:c>
      <x:c r="H65" s="7" t="str"/>
      <x:c r="I65" s="7" t="n">
        <x:v>0</x:v>
      </x:c>
      <x:c r="J65" s="8" t="n">
        <x:v>100</x:v>
      </x:c>
      <x:c r="K65" s="8" t="n">
        <x:v>65</x:v>
      </x:c>
      <x:c r="L65" s="7" t="n">
        <x:v>25</x:v>
      </x:c>
      <x:c r="M65" s="7" t="n">
        <x:v>3</x:v>
      </x:c>
      <x:c r="N65" s="7" t="n">
        <x:v>3</x:v>
      </x:c>
      <x:c r="O65" s="7" t="n">
        <x:v>0</x:v>
      </x:c>
      <x:c r="P65" s="8" t="n">
        <x:v>3600</x:v>
      </x:c>
      <x:c r="Q65" s="7" t="str"/>
    </x:row>
    <x:row r="66">
      <x:c r="A66" s="7" t="str">
        <x:v>explore_plains</x:v>
      </x:c>
      <x:c r="B66" s="7" t="str">
        <x:v>EXPLORE</x:v>
      </x:c>
      <x:c r="C66" s="7" t="str">
        <x:v>RARE</x:v>
      </x:c>
      <x:c r="D66" s="7" t="str">
        <x:v>quest.adventurersguild.explore_plains.title</x:v>
      </x:c>
      <x:c r="E66" s="7" t="str">
        <x:v>quest.adventurersguild.explore_plains.desc</x:v>
      </x:c>
      <x:c r="F66" s="7" t="str">
        <x:v>minecraft:plains</x:v>
      </x:c>
      <x:c r="G66" s="7" t="n">
        <x:v>0</x:v>
      </x:c>
      <x:c r="H66" s="7" t="str"/>
      <x:c r="I66" s="7" t="n">
        <x:v>0</x:v>
      </x:c>
      <x:c r="J66" s="8" t="n">
        <x:v>70</x:v>
      </x:c>
      <x:c r="K66" s="8" t="n">
        <x:v>45</x:v>
      </x:c>
      <x:c r="L66" s="7" t="n">
        <x:v>25</x:v>
      </x:c>
      <x:c r="M66" s="7" t="n">
        <x:v>3</x:v>
      </x:c>
      <x:c r="N66" s="7" t="n">
        <x:v>3</x:v>
      </x:c>
      <x:c r="O66" s="7" t="n">
        <x:v>0</x:v>
      </x:c>
      <x:c r="P66" s="8" t="n">
        <x:v>3600</x:v>
      </x:c>
      <x:c r="Q66" s="7" t="str"/>
    </x:row>
    <x:row r="67">
      <x:c r="A67" s="7" t="str">
        <x:v>explore_snowy</x:v>
      </x:c>
      <x:c r="B67" s="7" t="str">
        <x:v>EXPLORE</x:v>
      </x:c>
      <x:c r="C67" s="7" t="str">
        <x:v>RARE</x:v>
      </x:c>
      <x:c r="D67" s="7" t="str">
        <x:v>quest.adventurersguild.explore_snowy.title</x:v>
      </x:c>
      <x:c r="E67" s="7" t="str">
        <x:v>quest.adventurersguild.explore_snowy.desc</x:v>
      </x:c>
      <x:c r="F67" s="7" t="str">
        <x:v>minecraft:snowy_plains</x:v>
      </x:c>
      <x:c r="G67" s="7" t="n">
        <x:v>0</x:v>
      </x:c>
      <x:c r="H67" s="7" t="str"/>
      <x:c r="I67" s="7" t="n">
        <x:v>0</x:v>
      </x:c>
      <x:c r="J67" s="8" t="n">
        <x:v>95</x:v>
      </x:c>
      <x:c r="K67" s="8" t="n">
        <x:v>60</x:v>
      </x:c>
      <x:c r="L67" s="7" t="n">
        <x:v>25</x:v>
      </x:c>
      <x:c r="M67" s="7" t="n">
        <x:v>3</x:v>
      </x:c>
      <x:c r="N67" s="7" t="n">
        <x:v>3</x:v>
      </x:c>
      <x:c r="O67" s="7" t="n">
        <x:v>0</x:v>
      </x:c>
      <x:c r="P67" s="8" t="n">
        <x:v>3600</x:v>
      </x:c>
      <x:c r="Q67" s="7" t="str"/>
    </x:row>
    <x:row r="68">
      <x:c r="A68" s="7" t="str">
        <x:v>hunt_blazes</x:v>
      </x:c>
      <x:c r="B68" s="7" t="str">
        <x:v>HUNT</x:v>
      </x:c>
      <x:c r="C68" s="7" t="str">
        <x:v>EPIC</x:v>
      </x:c>
      <x:c r="D68" s="7" t="str">
        <x:v>quest.adventurersguild.hunt_blazes.title</x:v>
      </x:c>
      <x:c r="E68" s="7" t="str">
        <x:v>quest.adventurersguild.hunt_blazes.desc</x:v>
      </x:c>
      <x:c r="F68" s="7" t="str">
        <x:v>minecraft:blaze</x:v>
      </x:c>
      <x:c r="G68" s="7" t="n">
        <x:v>6</x:v>
      </x:c>
      <x:c r="H68" s="7" t="str"/>
      <x:c r="I68" s="7" t="n">
        <x:v>0</x:v>
      </x:c>
      <x:c r="J68" s="8" t="n">
        <x:v>130</x:v>
      </x:c>
      <x:c r="K68" s="8" t="n">
        <x:v>90</x:v>
      </x:c>
      <x:c r="L68" s="7" t="n">
        <x:v>40</x:v>
      </x:c>
      <x:c r="M68" s="7" t="n">
        <x:v>4</x:v>
      </x:c>
      <x:c r="N68" s="7" t="n">
        <x:v>4</x:v>
      </x:c>
      <x:c r="O68" s="7" t="n">
        <x:v>0</x:v>
      </x:c>
      <x:c r="P68" s="8" t="n">
        <x:v>3600</x:v>
      </x:c>
      <x:c r="Q68" s="7" t="str"/>
    </x:row>
    <x:row r="69">
      <x:c r="A69" s="7" t="str">
        <x:v>hunt_creepers</x:v>
      </x:c>
      <x:c r="B69" s="7" t="str">
        <x:v>HUNT</x:v>
      </x:c>
      <x:c r="C69" s="7" t="str">
        <x:v>UNCOMMON</x:v>
      </x:c>
      <x:c r="D69" s="7" t="str">
        <x:v>quest.adventurersguild.hunt_creepers.title</x:v>
      </x:c>
      <x:c r="E69" s="7" t="str">
        <x:v>quest.adventurersguild.hunt_creepers.desc</x:v>
      </x:c>
      <x:c r="F69" s="7" t="str">
        <x:v>minecraft:creeper</x:v>
      </x:c>
      <x:c r="G69" s="7" t="n">
        <x:v>6</x:v>
      </x:c>
      <x:c r="H69" s="7" t="str"/>
      <x:c r="I69" s="7" t="n">
        <x:v>0</x:v>
      </x:c>
      <x:c r="J69" s="8" t="n">
        <x:v>80</x:v>
      </x:c>
      <x:c r="K69" s="8" t="n">
        <x:v>50</x:v>
      </x:c>
      <x:c r="L69" s="7" t="n">
        <x:v>15</x:v>
      </x:c>
      <x:c r="M69" s="7" t="n">
        <x:v>2</x:v>
      </x:c>
      <x:c r="N69" s="7" t="n">
        <x:v>2</x:v>
      </x:c>
      <x:c r="O69" s="7" t="n">
        <x:v>0</x:v>
      </x:c>
      <x:c r="P69" s="8" t="n">
        <x:v>2700</x:v>
      </x:c>
      <x:c r="Q69" s="7" t="str"/>
    </x:row>
    <x:row r="70">
      <x:c r="A70" s="7" t="str">
        <x:v>hunt_endermen</x:v>
      </x:c>
      <x:c r="B70" s="7" t="str">
        <x:v>HUNT</x:v>
      </x:c>
      <x:c r="C70" s="7" t="str">
        <x:v>UNCOMMON</x:v>
      </x:c>
      <x:c r="D70" s="7" t="str">
        <x:v>quest.adventurersguild.hunt_endermen.title</x:v>
      </x:c>
      <x:c r="E70" s="7" t="str">
        <x:v>quest.adventurersguild.hunt_endermen.desc</x:v>
      </x:c>
      <x:c r="F70" s="7" t="str">
        <x:v>minecraft:enderman</x:v>
      </x:c>
      <x:c r="G70" s="7" t="n">
        <x:v>4</x:v>
      </x:c>
      <x:c r="H70" s="7" t="str"/>
      <x:c r="I70" s="7" t="n">
        <x:v>0</x:v>
      </x:c>
      <x:c r="J70" s="8" t="n">
        <x:v>100</x:v>
      </x:c>
      <x:c r="K70" s="8" t="n">
        <x:v>70</x:v>
      </x:c>
      <x:c r="L70" s="7" t="n">
        <x:v>15</x:v>
      </x:c>
      <x:c r="M70" s="7" t="n">
        <x:v>2</x:v>
      </x:c>
      <x:c r="N70" s="7" t="n">
        <x:v>2</x:v>
      </x:c>
      <x:c r="O70" s="7" t="n">
        <x:v>0</x:v>
      </x:c>
      <x:c r="P70" s="8" t="n">
        <x:v>2700</x:v>
      </x:c>
      <x:c r="Q70" s="7" t="str"/>
    </x:row>
    <x:row r="71">
      <x:c r="A71" s="7" t="str">
        <x:v>hunt_skeletons</x:v>
      </x:c>
      <x:c r="B71" s="7" t="str">
        <x:v>HUNT</x:v>
      </x:c>
      <x:c r="C71" s="7" t="str">
        <x:v>COMMON</x:v>
      </x:c>
      <x:c r="D71" s="7" t="str">
        <x:v>quest.adventurersguild.hunt_skeletons.title</x:v>
      </x:c>
      <x:c r="E71" s="7" t="str">
        <x:v>quest.adventurersguild.hunt_skeletons.desc</x:v>
      </x:c>
      <x:c r="F71" s="7" t="str">
        <x:v>minecraft:skeleton</x:v>
      </x:c>
      <x:c r="G71" s="7" t="n">
        <x:v>8</x:v>
      </x:c>
      <x:c r="H71" s="7" t="str"/>
      <x:c r="I71" s="7" t="n">
        <x:v>0</x:v>
      </x:c>
      <x:c r="J71" s="8" t="n">
        <x:v>65</x:v>
      </x:c>
      <x:c r="K71" s="8" t="n">
        <x:v>40</x:v>
      </x:c>
      <x:c r="L71" s="7" t="n">
        <x:v>10</x:v>
      </x:c>
      <x:c r="M71" s="7" t="n">
        <x:v>1</x:v>
      </x:c>
      <x:c r="N71" s="7" t="n">
        <x:v>1</x:v>
      </x:c>
      <x:c r="O71" s="7" t="n">
        <x:v>0</x:v>
      </x:c>
      <x:c r="P71" s="8" t="n">
        <x:v>1800</x:v>
      </x:c>
      <x:c r="Q71" s="7" t="str"/>
    </x:row>
    <x:row r="72">
      <x:c r="A72" s="7" t="str">
        <x:v>hunt_slimes</x:v>
      </x:c>
      <x:c r="B72" s="7" t="str">
        <x:v>HUNT</x:v>
      </x:c>
      <x:c r="C72" s="7" t="str">
        <x:v>COMMON</x:v>
      </x:c>
      <x:c r="D72" s="7" t="str">
        <x:v>quest.adventurersguild.hunt_slimes.title</x:v>
      </x:c>
      <x:c r="E72" s="7" t="str">
        <x:v>quest.adventurersguild.hunt_slimes.desc</x:v>
      </x:c>
      <x:c r="F72" s="7" t="str">
        <x:v>minecraft:slime</x:v>
      </x:c>
      <x:c r="G72" s="7" t="n">
        <x:v>12</x:v>
      </x:c>
      <x:c r="H72" s="7" t="str"/>
      <x:c r="I72" s="7" t="n">
        <x:v>0</x:v>
      </x:c>
      <x:c r="J72" s="8" t="n">
        <x:v>50</x:v>
      </x:c>
      <x:c r="K72" s="8" t="n">
        <x:v>35</x:v>
      </x:c>
      <x:c r="L72" s="7" t="n">
        <x:v>10</x:v>
      </x:c>
      <x:c r="M72" s="7" t="n">
        <x:v>1</x:v>
      </x:c>
      <x:c r="N72" s="7" t="n">
        <x:v>1</x:v>
      </x:c>
      <x:c r="O72" s="7" t="n">
        <x:v>0</x:v>
      </x:c>
      <x:c r="P72" s="8" t="n">
        <x:v>1800</x:v>
      </x:c>
      <x:c r="Q72" s="7" t="str"/>
    </x:row>
    <x:row r="73">
      <x:c r="A73" s="7" t="str">
        <x:v>hunt_spiders</x:v>
      </x:c>
      <x:c r="B73" s="7" t="str">
        <x:v>HUNT</x:v>
      </x:c>
      <x:c r="C73" s="7" t="str">
        <x:v>COMMON</x:v>
      </x:c>
      <x:c r="D73" s="7" t="str">
        <x:v>quest.adventurersguild.hunt_spiders.title</x:v>
      </x:c>
      <x:c r="E73" s="7" t="str">
        <x:v>quest.adventurersguild.hunt_spiders.desc</x:v>
      </x:c>
      <x:c r="F73" s="7" t="str">
        <x:v>minecraft:spider</x:v>
      </x:c>
      <x:c r="G73" s="7" t="n">
        <x:v>8</x:v>
      </x:c>
      <x:c r="H73" s="7" t="str"/>
      <x:c r="I73" s="7" t="n">
        <x:v>0</x:v>
      </x:c>
      <x:c r="J73" s="8" t="n">
        <x:v>55</x:v>
      </x:c>
      <x:c r="K73" s="8" t="n">
        <x:v>35</x:v>
      </x:c>
      <x:c r="L73" s="7" t="n">
        <x:v>10</x:v>
      </x:c>
      <x:c r="M73" s="7" t="n">
        <x:v>1</x:v>
      </x:c>
      <x:c r="N73" s="7" t="n">
        <x:v>1</x:v>
      </x:c>
      <x:c r="O73" s="7" t="n">
        <x:v>0</x:v>
      </x:c>
      <x:c r="P73" s="8" t="n">
        <x:v>1800</x:v>
      </x:c>
      <x:c r="Q73" s="7" t="str"/>
    </x:row>
    <x:row r="74">
      <x:c r="A74" s="7" t="str">
        <x:v>hunt_witches</x:v>
      </x:c>
      <x:c r="B74" s="7" t="str">
        <x:v>HUNT</x:v>
      </x:c>
      <x:c r="C74" s="7" t="str">
        <x:v>RARE</x:v>
      </x:c>
      <x:c r="D74" s="7" t="str">
        <x:v>quest.adventurersguild.hunt_witches.title</x:v>
      </x:c>
      <x:c r="E74" s="7" t="str">
        <x:v>quest.adventurersguild.hunt_witches.desc</x:v>
      </x:c>
      <x:c r="F74" s="7" t="str">
        <x:v>minecraft:witch</x:v>
      </x:c>
      <x:c r="G74" s="7" t="n">
        <x:v>3</x:v>
      </x:c>
      <x:c r="H74" s="7" t="str"/>
      <x:c r="I74" s="7" t="n">
        <x:v>0</x:v>
      </x:c>
      <x:c r="J74" s="8" t="n">
        <x:v>110</x:v>
      </x:c>
      <x:c r="K74" s="8" t="n">
        <x:v>75</x:v>
      </x:c>
      <x:c r="L74" s="7" t="n">
        <x:v>25</x:v>
      </x:c>
      <x:c r="M74" s="7" t="n">
        <x:v>3</x:v>
      </x:c>
      <x:c r="N74" s="7" t="n">
        <x:v>3</x:v>
      </x:c>
      <x:c r="O74" s="7" t="n">
        <x:v>0</x:v>
      </x:c>
      <x:c r="P74" s="8" t="n">
        <x:v>3600</x:v>
      </x:c>
      <x:c r="Q74" s="7" t="str"/>
    </x:row>
    <x:row r="75">
      <x:c r="A75" s="7" t="str">
        <x:v>hunt_zombies</x:v>
      </x:c>
      <x:c r="B75" s="7" t="str">
        <x:v>HUNT</x:v>
      </x:c>
      <x:c r="C75" s="7" t="str">
        <x:v>COMMON</x:v>
      </x:c>
      <x:c r="D75" s="7" t="str">
        <x:v>quest.adventurersguild.hunt_zombies.title</x:v>
      </x:c>
      <x:c r="E75" s="7" t="str">
        <x:v>quest.adventurersguild.hunt_zombies.desc</x:v>
      </x:c>
      <x:c r="F75" s="7" t="str">
        <x:v>minecraft:zombie</x:v>
      </x:c>
      <x:c r="G75" s="7" t="n">
        <x:v>10</x:v>
      </x:c>
      <x:c r="H75" s="7" t="str"/>
      <x:c r="I75" s="7" t="n">
        <x:v>0</x:v>
      </x:c>
      <x:c r="J75" s="8" t="n">
        <x:v>60</x:v>
      </x:c>
      <x:c r="K75" s="8" t="n">
        <x:v>40</x:v>
      </x:c>
      <x:c r="L75" s="7" t="n">
        <x:v>10</x:v>
      </x:c>
      <x:c r="M75" s="7" t="n">
        <x:v>1</x:v>
      </x:c>
      <x:c r="N75" s="7" t="n">
        <x:v>1</x:v>
      </x:c>
      <x:c r="O75" s="7" t="n">
        <x:v>0</x:v>
      </x:c>
      <x:c r="P75" s="8" t="n">
        <x:v>1800</x:v>
      </x:c>
      <x:c r="Q75" s="7" t="str"/>
    </x:row>
    <x:row r="76">
      <x:c r="A76" s="7" t="str">
        <x:v>survive_in_desert</x:v>
      </x:c>
      <x:c r="B76" s="7" t="str">
        <x:v>SURVIVE</x:v>
      </x:c>
      <x:c r="C76" s="7" t="str">
        <x:v>RARE</x:v>
      </x:c>
      <x:c r="D76" s="7" t="str">
        <x:v>quest.adventurersguild.survive_in_desert.title</x:v>
      </x:c>
      <x:c r="E76" s="7" t="str">
        <x:v>quest.adventurersguild.survive_in_desert.desc</x:v>
      </x:c>
      <x:c r="F76" s="7" t="str">
        <x:v>minecraft:desert</x:v>
      </x:c>
      <x:c r="G76" s="7" t="n">
        <x:v>120</x:v>
      </x:c>
      <x:c r="H76" s="7" t="str">
        <x:v>biome</x:v>
      </x:c>
      <x:c r="I76" s="7" t="n">
        <x:v>0</x:v>
      </x:c>
      <x:c r="J76" s="8" t="n">
        <x:v>90</x:v>
      </x:c>
      <x:c r="K76" s="8" t="n">
        <x:v>55</x:v>
      </x:c>
      <x:c r="L76" s="7" t="n">
        <x:v>25</x:v>
      </x:c>
      <x:c r="M76" s="7" t="n">
        <x:v>3</x:v>
      </x:c>
      <x:c r="N76" s="7" t="n">
        <x:v>3</x:v>
      </x:c>
      <x:c r="O76" s="7" t="n">
        <x:v>0</x:v>
      </x:c>
      <x:c r="P76" s="8" t="n">
        <x:v>5400</x:v>
      </x:c>
      <x:c r="Q76" s="7" t="str"/>
    </x:row>
    <x:row r="77">
      <x:c r="A77" s="7" t="str">
        <x:v>survive_in_nether</x:v>
      </x:c>
      <x:c r="B77" s="7" t="str">
        <x:v>SURVIVE</x:v>
      </x:c>
      <x:c r="C77" s="7" t="str">
        <x:v>EPIC</x:v>
      </x:c>
      <x:c r="D77" s="7" t="str">
        <x:v>quest.adventurersguild.survive_in_nether.title</x:v>
      </x:c>
      <x:c r="E77" s="7" t="str">
        <x:v>quest.adventurersguild.survive_in_nether.desc</x:v>
      </x:c>
      <x:c r="F77" s="7" t="str">
        <x:v>minecraft:the_nether</x:v>
      </x:c>
      <x:c r="G77" s="7" t="n">
        <x:v>90</x:v>
      </x:c>
      <x:c r="H77" s="7" t="str">
        <x:v>dimension</x:v>
      </x:c>
      <x:c r="I77" s="7" t="n">
        <x:v>0</x:v>
      </x:c>
      <x:c r="J77" s="8" t="n">
        <x:v>140</x:v>
      </x:c>
      <x:c r="K77" s="8" t="n">
        <x:v>100</x:v>
      </x:c>
      <x:c r="L77" s="7" t="n">
        <x:v>40</x:v>
      </x:c>
      <x:c r="M77" s="7" t="n">
        <x:v>4</x:v>
      </x:c>
      <x:c r="N77" s="7" t="n">
        <x:v>4</x:v>
      </x:c>
      <x:c r="O77" s="7" t="n">
        <x:v>0</x:v>
      </x:c>
      <x:c r="P77" s="8" t="n">
        <x:v>5400</x:v>
      </x:c>
      <x:c r="Q77" s="7" t="str"/>
    </x:row>
    <x:row r="78">
      <x:c r="A78" s="7" t="str">
        <x:v>survive_night_surface</x:v>
      </x:c>
      <x:c r="B78" s="7" t="str">
        <x:v>SURVIVE</x:v>
      </x:c>
      <x:c r="C78" s="7" t="str">
        <x:v>UNCOMMON</x:v>
      </x:c>
      <x:c r="D78" s="7" t="str">
        <x:v>quest.adventurersguild.survive_night_surface.title</x:v>
      </x:c>
      <x:c r="E78" s="7" t="str">
        <x:v>quest.adventurersguild.survive_night_surface.desc</x:v>
      </x:c>
      <x:c r="F78" s="7" t="str"/>
      <x:c r="G78" s="7" t="n">
        <x:v>120</x:v>
      </x:c>
      <x:c r="H78" s="7" t="str">
        <x:v>night</x:v>
      </x:c>
      <x:c r="I78" s="7" t="n">
        <x:v>0</x:v>
      </x:c>
      <x:c r="J78" s="8" t="n">
        <x:v>80</x:v>
      </x:c>
      <x:c r="K78" s="8" t="n">
        <x:v>50</x:v>
      </x:c>
      <x:c r="L78" s="7" t="n">
        <x:v>15</x:v>
      </x:c>
      <x:c r="M78" s="7" t="n">
        <x:v>2</x:v>
      </x:c>
      <x:c r="N78" s="7" t="n">
        <x:v>2</x:v>
      </x:c>
      <x:c r="O78" s="7" t="n">
        <x:v>0</x:v>
      </x:c>
      <x:c r="P78" s="8" t="n">
        <x:v>5400</x:v>
      </x:c>
      <x:c r="Q78" s="7" t="str"/>
    </x:row>
    <x:row r="79">
      <x:c r="A79" s="7" t="str">
        <x:v>transport_gold_to_guild</x:v>
      </x:c>
      <x:c r="B79" s="7" t="str">
        <x:v>TRANSPORT</x:v>
      </x:c>
      <x:c r="C79" s="7" t="str">
        <x:v>EPIC</x:v>
      </x:c>
      <x:c r="D79" s="7" t="str">
        <x:v>quest.adventurersguild.transport_gold_to_guild.title</x:v>
      </x:c>
      <x:c r="E79" s="7" t="str">
        <x:v>quest.adventurersguild.transport_gold_to_guild.desc</x:v>
      </x:c>
      <x:c r="F79" s="7" t="str">
        <x:v>minecraft:gold_ingot</x:v>
      </x:c>
      <x:c r="G79" s="7" t="n">
        <x:v>8</x:v>
      </x:c>
      <x:c r="H79" s="7" t="str">
        <x:v>spawn</x:v>
      </x:c>
      <x:c r="I79" s="7" t="n">
        <x:v>80</x:v>
      </x:c>
      <x:c r="J79" s="8" t="n">
        <x:v>160</x:v>
      </x:c>
      <x:c r="K79" s="8" t="n">
        <x:v>110</x:v>
      </x:c>
      <x:c r="L79" s="7" t="n">
        <x:v>40</x:v>
      </x:c>
      <x:c r="M79" s="7" t="n">
        <x:v>4</x:v>
      </x:c>
      <x:c r="N79" s="7" t="n">
        <x:v>4</x:v>
      </x:c>
      <x:c r="O79" s="7" t="n">
        <x:v>0</x:v>
      </x:c>
      <x:c r="P79" s="8" t="n">
        <x:v>3600</x:v>
      </x:c>
      <x:c r="Q79" s="7" t="str"/>
    </x:row>
    <x:row r="80">
      <x:c r="A80" s="7" t="str">
        <x:v>transport_iron_to_guild</x:v>
      </x:c>
      <x:c r="B80" s="7" t="str">
        <x:v>TRANSPORT</x:v>
      </x:c>
      <x:c r="C80" s="7" t="str">
        <x:v>RARE</x:v>
      </x:c>
      <x:c r="D80" s="7" t="str">
        <x:v>quest.adventurersguild.transport_iron_to_guild.title</x:v>
      </x:c>
      <x:c r="E80" s="7" t="str">
        <x:v>quest.adventurersguild.transport_iron_to_guild.desc</x:v>
      </x:c>
      <x:c r="F80" s="7" t="str">
        <x:v>minecraft:iron_ingot</x:v>
      </x:c>
      <x:c r="G80" s="7" t="n">
        <x:v>16</x:v>
      </x:c>
      <x:c r="H80" s="7" t="str">
        <x:v>spawn</x:v>
      </x:c>
      <x:c r="I80" s="7" t="n">
        <x:v>80</x:v>
      </x:c>
      <x:c r="J80" s="8" t="n">
        <x:v>100</x:v>
      </x:c>
      <x:c r="K80" s="8" t="n">
        <x:v>65</x:v>
      </x:c>
      <x:c r="L80" s="7" t="n">
        <x:v>25</x:v>
      </x:c>
      <x:c r="M80" s="7" t="n">
        <x:v>3</x:v>
      </x:c>
      <x:c r="N80" s="7" t="n">
        <x:v>3</x:v>
      </x:c>
      <x:c r="O80" s="7" t="n">
        <x:v>0</x:v>
      </x:c>
      <x:c r="P80" s="8" t="n">
        <x:v>3600</x:v>
      </x:c>
      <x:c r="Q80" s="7" t="str"/>
    </x:row>
    <x:row r="81">
      <x:c r="A81" s="7" t="str">
        <x:v>transport_wood_to_guild</x:v>
      </x:c>
      <x:c r="B81" s="7" t="str">
        <x:v>TRANSPORT</x:v>
      </x:c>
      <x:c r="C81" s="7" t="str">
        <x:v>UNCOMMON</x:v>
      </x:c>
      <x:c r="D81" s="7" t="str">
        <x:v>quest.adventurersguild.transport_wood_to_guild.title</x:v>
      </x:c>
      <x:c r="E81" s="7" t="str">
        <x:v>quest.adventurersguild.transport_wood_to_guild.desc</x:v>
      </x:c>
      <x:c r="F81" s="7" t="str">
        <x:v>#minecraft:logs</x:v>
      </x:c>
      <x:c r="G81" s="7" t="n">
        <x:v>20</x:v>
      </x:c>
      <x:c r="H81" s="7" t="str">
        <x:v>spawn</x:v>
      </x:c>
      <x:c r="I81" s="7" t="n">
        <x:v>80</x:v>
      </x:c>
      <x:c r="J81" s="8" t="n">
        <x:v>60</x:v>
      </x:c>
      <x:c r="K81" s="8" t="n">
        <x:v>40</x:v>
      </x:c>
      <x:c r="L81" s="7" t="n">
        <x:v>15</x:v>
      </x:c>
      <x:c r="M81" s="7" t="n">
        <x:v>2</x:v>
      </x:c>
      <x:c r="N81" s="7" t="n">
        <x:v>2</x:v>
      </x:c>
      <x:c r="O81" s="7" t="n">
        <x:v>0</x:v>
      </x:c>
      <x:c r="P81" s="8" t="n">
        <x:v>3600</x:v>
      </x:c>
      <x:c r="Q81" s="7" t="str"/>
    </x:row>
    <x:row r="82">
      <x:c r="A82" s="7" t="str">
        <x:v>Tutorial_001</x:v>
      </x:c>
      <x:c r="B82" s="7" t="str">
        <x:v>COLLECT</x:v>
      </x:c>
      <x:c r="C82" s="7" t="str">
        <x:v>COMMON</x:v>
      </x:c>
      <x:c r="D82" s="7" t="str">
        <x:v>quest.adventurersguild.Tutorial_001.title</x:v>
      </x:c>
      <x:c r="E82" s="7" t="str">
        <x:v>quest.adventurersguild.Tutorial_001.desc</x:v>
      </x:c>
      <x:c r="F82" s="7" t="str">
        <x:v>#minecraft:logs</x:v>
      </x:c>
      <x:c r="G82" s="7" t="n">
        <x:v>10</x:v>
      </x:c>
      <x:c r="H82" s="7" t="str"/>
      <x:c r="I82" s="7" t="n">
        <x:v>0</x:v>
      </x:c>
      <x:c r="J82" s="8" t="n">
        <x:v>20</x:v>
      </x:c>
      <x:c r="K82" s="8" t="n">
        <x:v>20</x:v>
      </x:c>
      <x:c r="L82" s="7" t="n">
        <x:v>10</x:v>
      </x:c>
      <x:c r="M82" s="7" t="n">
        <x:v>1</x:v>
      </x:c>
      <x:c r="N82" s="7" t="n">
        <x:v>1</x:v>
      </x:c>
      <x:c r="O82" s="7" t="n">
        <x:v>0</x:v>
      </x:c>
      <x:c r="P82" s="8" t="n">
        <x:v>1800</x:v>
      </x:c>
      <x:c r="Q82" s="7" t="str">
        <x:v>是</x:v>
      </x:c>
    </x:row>
  </x:sheetData>
  <x:mergeCells>
    <x:mergeCell ref="A1:Q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30" customHeight="1">
      <x:c r="A1" s="2" t="str">
        <x:v>每日任务池 QuestPool（22 个条目，按品质槽位加权抽取）</x:v>
      </x:c>
      <x:c r="B1" s="2" t="str">
        <x:v>每日任务池 QuestPool（22 个条目，按品质槽位加权抽取）</x:v>
      </x:c>
      <x:c r="C1" s="2" t="str">
        <x:v>每日任务池 QuestPool（22 个条目，按品质槽位加权抽取）</x:v>
      </x:c>
      <x:c r="D1" s="2" t="str">
        <x:v>每日任务池 QuestPool（22 个条目，按品质槽位加权抽取）</x:v>
      </x:c>
      <x:c r="E1" s="2" t="str">
        <x:v>每日任务池 QuestPool（22 个条目，按品质槽位加权抽取）</x:v>
      </x:c>
    </x:row>
    <x:row r="2" ht="22" customHeight="1">
      <x:c r="A2" s="5" t="str">
        <x:v>pool_id</x:v>
      </x:c>
      <x:c r="B2" s="5" t="str">
        <x:v>quest_id</x:v>
      </x:c>
      <x:c r="C2" s="5" t="str">
        <x:v>weight</x:v>
      </x:c>
      <x:c r="D2" s="5" t="str">
        <x:v>min_level</x:v>
      </x:c>
      <x:c r="E2" s="5" t="str">
        <x:v>max_level</x:v>
      </x:c>
    </x:row>
    <x:row r="3">
      <x:c r="A3" s="6" t="str">
        <x:v>daily</x:v>
      </x:c>
      <x:c r="B3" s="6" t="str">
        <x:v>collect_wood</x:v>
      </x:c>
      <x:c r="C3" s="6" t="n">
        <x:v>5</x:v>
      </x:c>
      <x:c r="D3" s="6" t="n">
        <x:v>1</x:v>
      </x:c>
      <x:c r="E3" s="6" t="n">
        <x:v>6</x:v>
      </x:c>
    </x:row>
    <x:row r="4">
      <x:c r="A4" s="6" t="str">
        <x:v>daily</x:v>
      </x:c>
      <x:c r="B4" s="6" t="str">
        <x:v>collect_wheat</x:v>
      </x:c>
      <x:c r="C4" s="6" t="n">
        <x:v>4</x:v>
      </x:c>
      <x:c r="D4" s="6" t="n">
        <x:v>1</x:v>
      </x:c>
      <x:c r="E4" s="6" t="n">
        <x:v>6</x:v>
      </x:c>
    </x:row>
    <x:row r="5">
      <x:c r="A5" s="6" t="str">
        <x:v>daily</x:v>
      </x:c>
      <x:c r="B5" s="6" t="str">
        <x:v>collect_bones</x:v>
      </x:c>
      <x:c r="C5" s="6" t="n">
        <x:v>3</x:v>
      </x:c>
      <x:c r="D5" s="6" t="n">
        <x:v>1</x:v>
      </x:c>
      <x:c r="E5" s="6" t="n">
        <x:v>6</x:v>
      </x:c>
    </x:row>
    <x:row r="6">
      <x:c r="A6" s="6" t="str">
        <x:v>daily</x:v>
      </x:c>
      <x:c r="B6" s="6" t="str">
        <x:v>hunt_zombies</x:v>
      </x:c>
      <x:c r="C6" s="6" t="n">
        <x:v>5</x:v>
      </x:c>
      <x:c r="D6" s="6" t="n">
        <x:v>1</x:v>
      </x:c>
      <x:c r="E6" s="6" t="n">
        <x:v>6</x:v>
      </x:c>
    </x:row>
    <x:row r="7">
      <x:c r="A7" s="6" t="str">
        <x:v>daily</x:v>
      </x:c>
      <x:c r="B7" s="6" t="str">
        <x:v>hunt_spiders</x:v>
      </x:c>
      <x:c r="C7" s="6" t="n">
        <x:v>4</x:v>
      </x:c>
      <x:c r="D7" s="6" t="n">
        <x:v>1</x:v>
      </x:c>
      <x:c r="E7" s="6" t="n">
        <x:v>6</x:v>
      </x:c>
    </x:row>
    <x:row r="8">
      <x:c r="A8" s="6" t="str">
        <x:v>daily</x:v>
      </x:c>
      <x:c r="B8" s="6" t="str">
        <x:v>hunt_skeletons</x:v>
      </x:c>
      <x:c r="C8" s="6" t="n">
        <x:v>4</x:v>
      </x:c>
      <x:c r="D8" s="6" t="n">
        <x:v>1</x:v>
      </x:c>
      <x:c r="E8" s="6" t="n">
        <x:v>6</x:v>
      </x:c>
    </x:row>
    <x:row r="9">
      <x:c r="A9" s="6" t="str">
        <x:v>daily</x:v>
      </x:c>
      <x:c r="B9" s="6" t="str">
        <x:v>hunt_slimes</x:v>
      </x:c>
      <x:c r="C9" s="6" t="n">
        <x:v>3</x:v>
      </x:c>
      <x:c r="D9" s="6" t="n">
        <x:v>1</x:v>
      </x:c>
      <x:c r="E9" s="6" t="n">
        <x:v>6</x:v>
      </x:c>
    </x:row>
    <x:row r="10">
      <x:c r="A10" s="6" t="str">
        <x:v>daily</x:v>
      </x:c>
      <x:c r="B10" s="6" t="str">
        <x:v>collect_gunpowder</x:v>
      </x:c>
      <x:c r="C10" s="6" t="n">
        <x:v>3</x:v>
      </x:c>
      <x:c r="D10" s="6" t="n">
        <x:v>2</x:v>
      </x:c>
      <x:c r="E10" s="6" t="n">
        <x:v>6</x:v>
      </x:c>
    </x:row>
    <x:row r="11">
      <x:c r="A11" s="6" t="str">
        <x:v>daily</x:v>
      </x:c>
      <x:c r="B11" s="6" t="str">
        <x:v>hunt_creepers</x:v>
      </x:c>
      <x:c r="C11" s="6" t="n">
        <x:v>3</x:v>
      </x:c>
      <x:c r="D11" s="6" t="n">
        <x:v>2</x:v>
      </x:c>
      <x:c r="E11" s="6" t="n">
        <x:v>6</x:v>
      </x:c>
    </x:row>
    <x:row r="12">
      <x:c r="A12" s="6" t="str">
        <x:v>daily</x:v>
      </x:c>
      <x:c r="B12" s="6" t="str">
        <x:v>hunt_endermen</x:v>
      </x:c>
      <x:c r="C12" s="6" t="n">
        <x:v>2</x:v>
      </x:c>
      <x:c r="D12" s="6" t="n">
        <x:v>2</x:v>
      </x:c>
      <x:c r="E12" s="6" t="n">
        <x:v>6</x:v>
      </x:c>
    </x:row>
    <x:row r="13">
      <x:c r="A13" s="6" t="str">
        <x:v>daily</x:v>
      </x:c>
      <x:c r="B13" s="6" t="str">
        <x:v>survive_night_surface</x:v>
      </x:c>
      <x:c r="C13" s="6" t="n">
        <x:v>3</x:v>
      </x:c>
      <x:c r="D13" s="6" t="n">
        <x:v>2</x:v>
      </x:c>
      <x:c r="E13" s="6" t="n">
        <x:v>6</x:v>
      </x:c>
    </x:row>
    <x:row r="14">
      <x:c r="A14" s="6" t="str">
        <x:v>daily</x:v>
      </x:c>
      <x:c r="B14" s="6" t="str">
        <x:v>transport_wood_to_guild</x:v>
      </x:c>
      <x:c r="C14" s="6" t="n">
        <x:v>3</x:v>
      </x:c>
      <x:c r="D14" s="6" t="n">
        <x:v>2</x:v>
      </x:c>
      <x:c r="E14" s="6" t="n">
        <x:v>6</x:v>
      </x:c>
    </x:row>
    <x:row r="15">
      <x:c r="A15" s="6" t="str">
        <x:v>daily</x:v>
      </x:c>
      <x:c r="B15" s="6" t="str">
        <x:v>collect_diamonds</x:v>
      </x:c>
      <x:c r="C15" s="6" t="n">
        <x:v>2</x:v>
      </x:c>
      <x:c r="D15" s="6" t="n">
        <x:v>3</x:v>
      </x:c>
      <x:c r="E15" s="6" t="n">
        <x:v>6</x:v>
      </x:c>
    </x:row>
    <x:row r="16">
      <x:c r="A16" s="6" t="str">
        <x:v>daily</x:v>
      </x:c>
      <x:c r="B16" s="6" t="str">
        <x:v>collect_ender_pearls</x:v>
      </x:c>
      <x:c r="C16" s="6" t="n">
        <x:v>2</x:v>
      </x:c>
      <x:c r="D16" s="6" t="n">
        <x:v>3</x:v>
      </x:c>
      <x:c r="E16" s="6" t="n">
        <x:v>6</x:v>
      </x:c>
    </x:row>
    <x:row r="17">
      <x:c r="A17" s="6" t="str">
        <x:v>daily</x:v>
      </x:c>
      <x:c r="B17" s="6" t="str">
        <x:v>hunt_witches</x:v>
      </x:c>
      <x:c r="C17" s="6" t="n">
        <x:v>2</x:v>
      </x:c>
      <x:c r="D17" s="6" t="n">
        <x:v>3</x:v>
      </x:c>
      <x:c r="E17" s="6" t="n">
        <x:v>6</x:v>
      </x:c>
    </x:row>
    <x:row r="18">
      <x:c r="A18" s="6" t="str">
        <x:v>daily</x:v>
      </x:c>
      <x:c r="B18" s="6" t="str">
        <x:v>explore_plains</x:v>
      </x:c>
      <x:c r="C18" s="6" t="n">
        <x:v>3</x:v>
      </x:c>
      <x:c r="D18" s="6" t="n">
        <x:v>3</x:v>
      </x:c>
      <x:c r="E18" s="6" t="n">
        <x:v>6</x:v>
      </x:c>
    </x:row>
    <x:row r="19">
      <x:c r="A19" s="6" t="str">
        <x:v>daily</x:v>
      </x:c>
      <x:c r="B19" s="6" t="str">
        <x:v>explore_forest</x:v>
      </x:c>
      <x:c r="C19" s="6" t="n">
        <x:v>3</x:v>
      </x:c>
      <x:c r="D19" s="6" t="n">
        <x:v>3</x:v>
      </x:c>
      <x:c r="E19" s="6" t="n">
        <x:v>6</x:v>
      </x:c>
    </x:row>
    <x:row r="20">
      <x:c r="A20" s="6" t="str">
        <x:v>daily</x:v>
      </x:c>
      <x:c r="B20" s="6" t="str">
        <x:v>explore_desert</x:v>
      </x:c>
      <x:c r="C20" s="6" t="n">
        <x:v>2</x:v>
      </x:c>
      <x:c r="D20" s="6" t="n">
        <x:v>3</x:v>
      </x:c>
      <x:c r="E20" s="6" t="n">
        <x:v>6</x:v>
      </x:c>
    </x:row>
    <x:row r="21">
      <x:c r="A21" s="6" t="str">
        <x:v>daily</x:v>
      </x:c>
      <x:c r="B21" s="6" t="str">
        <x:v>explore_jungle</x:v>
      </x:c>
      <x:c r="C21" s="6" t="n">
        <x:v>2</x:v>
      </x:c>
      <x:c r="D21" s="6" t="n">
        <x:v>3</x:v>
      </x:c>
      <x:c r="E21" s="6" t="n">
        <x:v>6</x:v>
      </x:c>
    </x:row>
    <x:row r="22">
      <x:c r="A22" s="6" t="str">
        <x:v>daily</x:v>
      </x:c>
      <x:c r="B22" s="6" t="str">
        <x:v>explore_snowy</x:v>
      </x:c>
      <x:c r="C22" s="6" t="n">
        <x:v>2</x:v>
      </x:c>
      <x:c r="D22" s="6" t="n">
        <x:v>3</x:v>
      </x:c>
      <x:c r="E22" s="6" t="n">
        <x:v>6</x:v>
      </x:c>
    </x:row>
    <x:row r="23">
      <x:c r="A23" s="6" t="str">
        <x:v>daily</x:v>
      </x:c>
      <x:c r="B23" s="6" t="str">
        <x:v>survive_in_desert</x:v>
      </x:c>
      <x:c r="C23" s="6" t="n">
        <x:v>2</x:v>
      </x:c>
      <x:c r="D23" s="6" t="n">
        <x:v>3</x:v>
      </x:c>
      <x:c r="E23" s="6" t="n">
        <x:v>6</x:v>
      </x:c>
    </x:row>
    <x:row r="24">
      <x:c r="A24" s="6" t="str">
        <x:v>daily</x:v>
      </x:c>
      <x:c r="B24" s="6" t="str">
        <x:v>transport_iron_to_guild</x:v>
      </x:c>
      <x:c r="C24" s="6" t="n">
        <x:v>2</x:v>
      </x:c>
      <x:c r="D24" s="6" t="n">
        <x:v>3</x:v>
      </x:c>
      <x:c r="E24" s="6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4" hidden="0" customWidth="1"/>
    <x:col min="4" max="4" width="12" hidden="0" customWidth="1"/>
    <x:col min="5" max="5" width="10" hidden="0" customWidth="1"/>
    <x:col min="6" max="6" width="42" hidden="0" customWidth="1"/>
  </x:cols>
  <x:sheetData>
    <x:row r="1" ht="30" customHeight="1">
      <x:c r="A1" s="2" t="str">
        <x:v>任务链 QuestChain（3 条）</x:v>
      </x:c>
      <x:c r="B1" s="2" t="str">
        <x:v>任务链 QuestChain（3 条）</x:v>
      </x:c>
      <x:c r="C1" s="2" t="str">
        <x:v>任务链 QuestChain（3 条）</x:v>
      </x:c>
      <x:c r="D1" s="2" t="str">
        <x:v>任务链 QuestChain（3 条）</x:v>
      </x:c>
      <x:c r="E1" s="2" t="str">
        <x:v>任务链 QuestChain（3 条）</x:v>
      </x:c>
      <x:c r="F1" s="2" t="str">
        <x:v>任务链 QuestChain（3 条）</x:v>
      </x:c>
    </x:row>
    <x:row r="2" ht="22" customHeight="1">
      <x:c r="A2" s="5" t="str">
        <x:v>chain_id</x:v>
      </x:c>
      <x:c r="B2" s="5" t="str">
        <x:v>step</x:v>
      </x:c>
      <x:c r="C2" s="5" t="str">
        <x:v>quest_id</x:v>
      </x:c>
      <x:c r="D2" s="5" t="str">
        <x:v>unlock_type</x:v>
      </x:c>
      <x:c r="E2" s="5" t="str">
        <x:v>unlock_value</x:v>
      </x:c>
      <x:c r="F2" s="5" t="str">
        <x:v>title_key</x:v>
      </x:c>
    </x:row>
    <x:row r="3">
      <x:c r="A3" s="6" t="str">
        <x:v>chain_guild_trial</x:v>
      </x:c>
      <x:c r="B3" s="6" t="n">
        <x:v>0</x:v>
      </x:c>
      <x:c r="C3" s="6" t="str">
        <x:v>explore_desert</x:v>
      </x:c>
      <x:c r="D3" s="6" t="str">
        <x:v>reputation</x:v>
      </x:c>
      <x:c r="E3" s="6" t="n">
        <x:v>800</x:v>
      </x:c>
      <x:c r="F3" s="6" t="str">
        <x:v>chain.adventurersguild.chain_guild_trial.title</x:v>
      </x:c>
    </x:row>
    <x:row r="4">
      <x:c r="A4" s="6" t="str">
        <x:v>chain_guild_trial</x:v>
      </x:c>
      <x:c r="B4" s="6" t="n">
        <x:v>1</x:v>
      </x:c>
      <x:c r="C4" s="6" t="str">
        <x:v>survive_in_desert</x:v>
      </x:c>
      <x:c r="D4" s="6" t="str">
        <x:v>quest</x:v>
      </x:c>
      <x:c r="E4" s="6" t="n">
        <x:v>0</x:v>
      </x:c>
      <x:c r="F4" s="6" t="str">
        <x:v>chain.adventurersguild.chain_guild_trial.title</x:v>
      </x:c>
    </x:row>
    <x:row r="5">
      <x:c r="A5" s="6" t="str">
        <x:v>chain_guild_trial</x:v>
      </x:c>
      <x:c r="B5" s="6" t="n">
        <x:v>2</x:v>
      </x:c>
      <x:c r="C5" s="6" t="str">
        <x:v>hunt_witches</x:v>
      </x:c>
      <x:c r="D5" s="6" t="str">
        <x:v>quest</x:v>
      </x:c>
      <x:c r="E5" s="6" t="n">
        <x:v>0</x:v>
      </x:c>
      <x:c r="F5" s="6" t="str">
        <x:v>chain.adventurersguild.chain_guild_trial.title</x:v>
      </x:c>
    </x:row>
    <x:row r="6">
      <x:c r="A6" s="6" t="str">
        <x:v>chain_guild_trial</x:v>
      </x:c>
      <x:c r="B6" s="6" t="n">
        <x:v>3</x:v>
      </x:c>
      <x:c r="C6" s="6" t="str">
        <x:v>transport_gold_to_guild</x:v>
      </x:c>
      <x:c r="D6" s="6" t="str">
        <x:v>quest</x:v>
      </x:c>
      <x:c r="E6" s="6" t="n">
        <x:v>0</x:v>
      </x:c>
      <x:c r="F6" s="6" t="str">
        <x:v>chain.adventurersguild.chain_guild_trial.title</x:v>
      </x:c>
    </x:row>
    <x:row r="7">
      <x:c r="A7" s="6" t="str">
        <x:v>chain_guild_trial</x:v>
      </x:c>
      <x:c r="B7" s="6" t="n">
        <x:v>4</x:v>
      </x:c>
      <x:c r="C7" s="6" t="str">
        <x:v>elite_skeletons</x:v>
      </x:c>
      <x:c r="D7" s="6" t="str">
        <x:v>quest</x:v>
      </x:c>
      <x:c r="E7" s="6" t="n">
        <x:v>0</x:v>
      </x:c>
      <x:c r="F7" s="6" t="str">
        <x:v>chain.adventurersguild.chain_guild_trial.title</x:v>
      </x:c>
    </x:row>
    <x:row r="8">
      <x:c r="A8" s="6" t="str">
        <x:v>chain_miner</x:v>
      </x:c>
      <x:c r="B8" s="6" t="n">
        <x:v>0</x:v>
      </x:c>
      <x:c r="C8" s="6" t="str">
        <x:v>collect_coal</x:v>
      </x:c>
      <x:c r="D8" s="6" t="str">
        <x:v>level</x:v>
      </x:c>
      <x:c r="E8" s="6" t="n">
        <x:v>1</x:v>
      </x:c>
      <x:c r="F8" s="6" t="str">
        <x:v>chain.adventurersguild.chain_miner.title</x:v>
      </x:c>
    </x:row>
    <x:row r="9">
      <x:c r="A9" s="6" t="str">
        <x:v>chain_miner</x:v>
      </x:c>
      <x:c r="B9" s="6" t="n">
        <x:v>1</x:v>
      </x:c>
      <x:c r="C9" s="6" t="str">
        <x:v>collect_iron_ingots</x:v>
      </x:c>
      <x:c r="D9" s="6" t="str">
        <x:v>quest</x:v>
      </x:c>
      <x:c r="E9" s="6" t="n">
        <x:v>0</x:v>
      </x:c>
      <x:c r="F9" s="6" t="str">
        <x:v>chain.adventurersguild.chain_miner.title</x:v>
      </x:c>
    </x:row>
    <x:row r="10">
      <x:c r="A10" s="6" t="str">
        <x:v>chain_miner</x:v>
      </x:c>
      <x:c r="B10" s="6" t="n">
        <x:v>2</x:v>
      </x:c>
      <x:c r="C10" s="6" t="str">
        <x:v>collect_iron_ore</x:v>
      </x:c>
      <x:c r="D10" s="6" t="str">
        <x:v>quest</x:v>
      </x:c>
      <x:c r="E10" s="6" t="n">
        <x:v>0</x:v>
      </x:c>
      <x:c r="F10" s="6" t="str">
        <x:v>chain.adventurersguild.chain_miner.title</x:v>
      </x:c>
    </x:row>
    <x:row r="11">
      <x:c r="A11" s="6" t="str">
        <x:v>chain_miner</x:v>
      </x:c>
      <x:c r="B11" s="6" t="n">
        <x:v>3</x:v>
      </x:c>
      <x:c r="C11" s="6" t="str">
        <x:v>collect_diamonds</x:v>
      </x:c>
      <x:c r="D11" s="6" t="str">
        <x:v>quest</x:v>
      </x:c>
      <x:c r="E11" s="6" t="n">
        <x:v>0</x:v>
      </x:c>
      <x:c r="F11" s="6" t="str">
        <x:v>chain.adventurersguild.chain_miner.title</x:v>
      </x:c>
    </x:row>
    <x:row r="12">
      <x:c r="A12" s="6" t="str">
        <x:v>chain_miner</x:v>
      </x:c>
      <x:c r="B12" s="6" t="n">
        <x:v>4</x:v>
      </x:c>
      <x:c r="C12" s="6" t="str">
        <x:v>hunt_blazes</x:v>
      </x:c>
      <x:c r="D12" s="6" t="str">
        <x:v>quest</x:v>
      </x:c>
      <x:c r="E12" s="6" t="n">
        <x:v>0</x:v>
      </x:c>
      <x:c r="F12" s="6" t="str">
        <x:v>chain.adventurersguild.chain_miner.title</x:v>
      </x:c>
    </x:row>
    <x:row r="13">
      <x:c r="A13" s="6" t="str">
        <x:v>chain_night_hunter</x:v>
      </x:c>
      <x:c r="B13" s="6" t="n">
        <x:v>0</x:v>
      </x:c>
      <x:c r="C13" s="6" t="str">
        <x:v>hunt_zombies</x:v>
      </x:c>
      <x:c r="D13" s="6" t="str">
        <x:v>level</x:v>
      </x:c>
      <x:c r="E13" s="6" t="n">
        <x:v>2</x:v>
      </x:c>
      <x:c r="F13" s="6" t="str">
        <x:v>chain.adventurersguild.chain_night_hunter.title</x:v>
      </x:c>
    </x:row>
    <x:row r="14">
      <x:c r="A14" s="6" t="str">
        <x:v>chain_night_hunter</x:v>
      </x:c>
      <x:c r="B14" s="6" t="n">
        <x:v>1</x:v>
      </x:c>
      <x:c r="C14" s="6" t="str">
        <x:v>hunt_skeletons</x:v>
      </x:c>
      <x:c r="D14" s="6" t="str">
        <x:v>quest</x:v>
      </x:c>
      <x:c r="E14" s="6" t="n">
        <x:v>0</x:v>
      </x:c>
      <x:c r="F14" s="6" t="str">
        <x:v>chain.adventurersguild.chain_night_hunter.title</x:v>
      </x:c>
    </x:row>
    <x:row r="15">
      <x:c r="A15" s="6" t="str">
        <x:v>chain_night_hunter</x:v>
      </x:c>
      <x:c r="B15" s="6" t="n">
        <x:v>2</x:v>
      </x:c>
      <x:c r="C15" s="6" t="str">
        <x:v>hunt_creepers</x:v>
      </x:c>
      <x:c r="D15" s="6" t="str">
        <x:v>quest</x:v>
      </x:c>
      <x:c r="E15" s="6" t="n">
        <x:v>0</x:v>
      </x:c>
      <x:c r="F15" s="6" t="str">
        <x:v>chain.adventurersguild.chain_night_hunter.title</x:v>
      </x:c>
    </x:row>
    <x:row r="16">
      <x:c r="A16" s="6" t="str">
        <x:v>chain_night_hunter</x:v>
      </x:c>
      <x:c r="B16" s="6" t="n">
        <x:v>3</x:v>
      </x:c>
      <x:c r="C16" s="6" t="str">
        <x:v>survive_night_surface</x:v>
      </x:c>
      <x:c r="D16" s="6" t="str">
        <x:v>quest</x:v>
      </x:c>
      <x:c r="E16" s="6" t="n">
        <x:v>0</x:v>
      </x:c>
      <x:c r="F16" s="6" t="str">
        <x:v>chain.adventurersguild.chain_night_hunter.title</x:v>
      </x:c>
    </x:row>
    <x:row r="17">
      <x:c r="A17" s="6" t="str">
        <x:v>chain_night_hunter</x:v>
      </x:c>
      <x:c r="B17" s="6" t="n">
        <x:v>4</x:v>
      </x:c>
      <x:c r="C17" s="6" t="str">
        <x:v>elite_zombies</x:v>
      </x:c>
      <x:c r="D17" s="6" t="str">
        <x:v>quest</x:v>
      </x:c>
      <x:c r="E17" s="6" t="n">
        <x:v>0</x:v>
      </x:c>
      <x:c r="F17" s="6" t="str">
        <x:v>chain.adventurersguild.chain_night_hunter.title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32" hidden="0" customWidth="1"/>
  </x:cols>
  <x:sheetData>
    <x:row r="1" ht="30" customHeight="1">
      <x:c r="A1" s="2" t="str">
        <x:v>冒险者等级曲线 Level（Lv1=0 / Lv2=300 / Lv3=900 / Lv4=2000 / Lv5=4000 / Lv6=7500）</x:v>
      </x:c>
      <x:c r="B1" s="2" t="str">
        <x:v>冒险者等级曲线 Level（Lv1=0 / Lv2=300 / Lv3=900 / Lv4=2000 / Lv5=4000 / Lv6=7500）</x:v>
      </x:c>
      <x:c r="C1" s="2" t="str">
        <x:v>冒险者等级曲线 Level（Lv1=0 / Lv2=300 / Lv3=900 / Lv4=2000 / Lv5=4000 / Lv6=7500）</x:v>
      </x:c>
      <x:c r="D1" s="2" t="str">
        <x:v>冒险者等级曲线 Level（Lv1=0 / Lv2=300 / Lv3=900 / Lv4=2000 / Lv5=4000 / Lv6=7500）</x:v>
      </x:c>
    </x:row>
    <x:row r="2" ht="22" customHeight="1">
      <x:c r="A2" s="5" t="str">
        <x:v>level</x:v>
      </x:c>
      <x:c r="B2" s="5" t="str">
        <x:v>total_exp_required</x:v>
      </x:c>
      <x:c r="C2" s="5" t="str">
        <x:v>exp_to_reach_next</x:v>
      </x:c>
      <x:c r="D2" s="5" t="str">
        <x:v>title_key</x:v>
      </x:c>
    </x:row>
    <x:row r="3">
      <x:c r="A3" s="6" t="n">
        <x:v>1</x:v>
      </x:c>
      <x:c r="B3" s="9" t="n">
        <x:v>0</x:v>
      </x:c>
      <x:c r="C3" s="9" t="n">
        <x:f>IF(A4=6,"",B4-B3)</x:f>
        <x:v>300</x:v>
      </x:c>
      <x:c r="D3" s="6" t="str">
        <x:v>level.adventurersguild.title.1</x:v>
      </x:c>
    </x:row>
    <x:row r="4">
      <x:c r="A4" s="6" t="n">
        <x:v>2</x:v>
      </x:c>
      <x:c r="B4" s="9" t="n">
        <x:v>300</x:v>
      </x:c>
      <x:c r="C4" s="9" t="n">
        <x:f>IF(A5=6,"",B5-B4)</x:f>
        <x:v>600</x:v>
      </x:c>
      <x:c r="D4" s="6" t="str">
        <x:v>level.adventurersguild.title.2</x:v>
      </x:c>
    </x:row>
    <x:row r="5">
      <x:c r="A5" s="6" t="n">
        <x:v>3</x:v>
      </x:c>
      <x:c r="B5" s="9" t="n">
        <x:v>900</x:v>
      </x:c>
      <x:c r="C5" s="9" t="n">
        <x:f>IF(A6=6,"",B6-B5)</x:f>
        <x:v>1100</x:v>
      </x:c>
      <x:c r="D5" s="6" t="str">
        <x:v>level.adventurersguild.title.3</x:v>
      </x:c>
    </x:row>
    <x:row r="6">
      <x:c r="A6" s="6" t="n">
        <x:v>4</x:v>
      </x:c>
      <x:c r="B6" s="9" t="n">
        <x:v>2000</x:v>
      </x:c>
      <x:c r="C6" s="9" t="n">
        <x:f>IF(A7=6,"",B7-B6)</x:f>
        <x:v>2000</x:v>
      </x:c>
      <x:c r="D6" s="6" t="str">
        <x:v>level.adventurersguild.title.4</x:v>
      </x:c>
    </x:row>
    <x:row r="7">
      <x:c r="A7" s="6" t="n">
        <x:v>5</x:v>
      </x:c>
      <x:c r="B7" s="9" t="n">
        <x:v>4000</x:v>
      </x:c>
      <x:c r="C7" s="9" t="str">
        <x:f>IF(A8=6,"",B8-B7)</x:f>
      </x:c>
      <x:c r="D7" s="6" t="str">
        <x:v>level.adventurersguild.title.5</x:v>
      </x:c>
    </x:row>
    <x:row r="8">
      <x:c r="A8" s="6" t="n">
        <x:v>6</x:v>
      </x:c>
      <x:c r="B8" s="9" t="n">
        <x:v>7500</x:v>
      </x:c>
      <x:c r="C8" s="9" t="str">
        <x:v>MAX</x:v>
      </x:c>
      <x:c r="D8" s="6" t="str">
        <x:v>level.adventurersguild.title.6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34" hidden="0" customWidth="1"/>
  </x:cols>
  <x:sheetData>
    <x:row r="1" ht="30" customHeight="1">
      <x:c r="A1" s="2" t="str">
        <x:v>公会声望 Reputation（0/100/300/800/1500/3000）</x:v>
      </x:c>
      <x:c r="B1" s="2" t="str">
        <x:v>公会声望 Reputation（0/100/300/800/1500/3000）</x:v>
      </x:c>
      <x:c r="C1" s="2" t="str">
        <x:v>公会声望 Reputation（0/100/300/800/1500/3000）</x:v>
      </x:c>
      <x:c r="D1" s="2" t="str">
        <x:v>公会声望 Reputation（0/100/300/800/1500/3000）</x:v>
      </x:c>
    </x:row>
    <x:row r="2" ht="22" customHeight="1">
      <x:c r="A2" s="5" t="str">
        <x:v>tier</x:v>
      </x:c>
      <x:c r="B2" s="5" t="str">
        <x:v>threshold</x:v>
      </x:c>
      <x:c r="C2" s="5" t="str">
        <x:v>title_key</x:v>
      </x:c>
      <x:c r="D2" s="5" t="str">
        <x:v>unlock_notes</x:v>
      </x:c>
    </x:row>
    <x:row r="3">
      <x:c r="A3" s="6" t="n">
        <x:v>0</x:v>
      </x:c>
      <x:c r="B3" s="9" t="n">
        <x:v>0</x:v>
      </x:c>
      <x:c r="C3" s="6" t="str">
        <x:v>reputation.adventurersguild.tier.0</x:v>
      </x:c>
      <x:c r="D3" s="6" t="str">
        <x:v>初始状态</x:v>
      </x:c>
    </x:row>
    <x:row r="4">
      <x:c r="A4" s="6" t="n">
        <x:v>1</x:v>
      </x:c>
      <x:c r="B4" s="9" t="n">
        <x:v>100</x:v>
      </x:c>
      <x:c r="C4" s="6" t="str">
        <x:v>reputation.adventurersguild.tier.1</x:v>
      </x:c>
      <x:c r="D4" s="6" t="str">
        <x:v>完成新手任务后</x:v>
      </x:c>
    </x:row>
    <x:row r="5">
      <x:c r="A5" s="6" t="n">
        <x:v>2</x:v>
      </x:c>
      <x:c r="B5" s="9" t="n">
        <x:v>300</x:v>
      </x:c>
      <x:c r="C5" s="6" t="str">
        <x:v>reputation.adventurersguild.tier.2</x:v>
      </x:c>
      <x:c r="D5" s="6" t="str">
        <x:v>可接更多每日任务</x:v>
      </x:c>
    </x:row>
    <x:row r="6">
      <x:c r="A6" s="6" t="n">
        <x:v>3</x:v>
      </x:c>
      <x:c r="B6" s="9" t="n">
        <x:v>800</x:v>
      </x:c>
      <x:c r="C6" s="6" t="str">
        <x:v>reputation.adventurersguild.tier.3</x:v>
      </x:c>
      <x:c r="D6" s="6" t="str">
        <x:v>解锁任务链：公会试炼</x:v>
      </x:c>
    </x:row>
    <x:row r="7">
      <x:c r="A7" s="6" t="n">
        <x:v>4</x:v>
      </x:c>
      <x:c r="B7" s="9" t="n">
        <x:v>1500</x:v>
      </x:c>
      <x:c r="C7" s="6" t="str">
        <x:v>reputation.adventurersguild.tier.4</x:v>
      </x:c>
      <x:c r="D7" s="6" t="str">
        <x:v>高级内容</x:v>
      </x:c>
    </x:row>
    <x:row r="8">
      <x:c r="A8" s="6" t="n">
        <x:v>5</x:v>
      </x:c>
      <x:c r="B8" s="9" t="n">
        <x:v>3000</x:v>
      </x:c>
      <x:c r="C8" s="6" t="str">
        <x:v>reputation.adventurersguild.tier.5</x:v>
      </x:c>
      <x:c r="D8" s="6" t="str">
        <x:v>公会名人（封顶）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0" hidden="0" customWidth="1"/>
    <x:col min="4" max="4" width="18" hidden="0" customWidth="1"/>
    <x:col min="5" max="5" width="10" hidden="0" customWidth="1"/>
    <x:col min="6" max="6" width="40" hidden="0" customWidth="1"/>
  </x:cols>
  <x:sheetData>
    <x:row r="1" ht="30" customHeight="1">
      <x:c r="A1" s="2" t="str">
        <x:v>饰品配表 Equipment（5 件，Curios 软集成）</x:v>
      </x:c>
      <x:c r="B1" s="2" t="str">
        <x:v>饰品配表 Equipment（5 件，Curios 软集成）</x:v>
      </x:c>
      <x:c r="C1" s="2" t="str">
        <x:v>饰品配表 Equipment（5 件，Curios 软集成）</x:v>
      </x:c>
      <x:c r="D1" s="2" t="str">
        <x:v>饰品配表 Equipment（5 件，Curios 软集成）</x:v>
      </x:c>
      <x:c r="E1" s="2" t="str">
        <x:v>饰品配表 Equipment（5 件，Curios 软集成）</x:v>
      </x:c>
      <x:c r="F1" s="2" t="str">
        <x:v>饰品配表 Equipment（5 件，Curios 软集成）</x:v>
      </x:c>
    </x:row>
    <x:row r="2" ht="22" customHeight="1">
      <x:c r="A2" s="5" t="str">
        <x:v>id</x:v>
      </x:c>
      <x:c r="B2" s="5" t="str">
        <x:v>item</x:v>
      </x:c>
      <x:c r="C2" s="5" t="str">
        <x:v>slot</x:v>
      </x:c>
      <x:c r="D2" s="5" t="str">
        <x:v>effect</x:v>
      </x:c>
      <x:c r="E2" s="5" t="str">
        <x:v>value</x:v>
      </x:c>
      <x:c r="F2" s="5" t="str">
        <x:v>description_key</x:v>
      </x:c>
    </x:row>
    <x:row r="3">
      <x:c r="A3" s="6" t="str">
        <x:v>adventurer_badge</x:v>
      </x:c>
      <x:c r="B3" s="6" t="str">
        <x:v>adventurersguild:adventurer_badge</x:v>
      </x:c>
      <x:c r="C3" s="6" t="str">
        <x:v>charm</x:v>
      </x:c>
      <x:c r="D3" s="6" t="str">
        <x:v>quest_exp</x:v>
      </x:c>
      <x:c r="E3" s="10" t="n">
        <x:v>0.05</x:v>
      </x:c>
      <x:c r="F3" s="6" t="str">
        <x:v>equipment.adventurersguild.adventurer_badge.desc</x:v>
      </x:c>
    </x:row>
    <x:row r="4">
      <x:c r="A4" s="6" t="str">
        <x:v>explorer_charm</x:v>
      </x:c>
      <x:c r="B4" s="6" t="str">
        <x:v>adventurersguild:explorer_charm</x:v>
      </x:c>
      <x:c r="C4" s="6" t="str">
        <x:v>charm</x:v>
      </x:c>
      <x:c r="D4" s="6" t="str">
        <x:v>move_speed</x:v>
      </x:c>
      <x:c r="E4" s="10" t="n">
        <x:v>0.05</x:v>
      </x:c>
      <x:c r="F4" s="6" t="str">
        <x:v>equipment.adventurersguild.explorer_charm.desc</x:v>
      </x:c>
    </x:row>
    <x:row r="5">
      <x:c r="A5" s="6" t="str">
        <x:v>guild_badge</x:v>
      </x:c>
      <x:c r="B5" s="6" t="str">
        <x:v>adventurersguild:guild_badge</x:v>
      </x:c>
      <x:c r="C5" s="6" t="str">
        <x:v>charm</x:v>
      </x:c>
      <x:c r="D5" s="6" t="str">
        <x:v>gold_reward</x:v>
      </x:c>
      <x:c r="E5" s="10" t="n">
        <x:v>0.05</x:v>
      </x:c>
      <x:c r="F5" s="6" t="str">
        <x:v>equipment.adventurersguild.guild_badge.desc</x:v>
      </x:c>
    </x:row>
    <x:row r="6">
      <x:c r="A6" s="6" t="str">
        <x:v>hunter_badge</x:v>
      </x:c>
      <x:c r="B6" s="6" t="str">
        <x:v>adventurersguild:hunter_badge</x:v>
      </x:c>
      <x:c r="C6" s="6" t="str">
        <x:v>charm</x:v>
      </x:c>
      <x:c r="D6" s="6" t="str">
        <x:v>hostile_damage</x:v>
      </x:c>
      <x:c r="E6" s="10" t="n">
        <x:v>0.05</x:v>
      </x:c>
      <x:c r="F6" s="6" t="str">
        <x:v>equipment.adventurersguild.hunter_badge.desc</x:v>
      </x:c>
    </x:row>
    <x:row r="7">
      <x:c r="A7" s="6" t="str">
        <x:v>miner_ring</x:v>
      </x:c>
      <x:c r="B7" s="6" t="str">
        <x:v>adventurersguild:miner_ring</x:v>
      </x:c>
      <x:c r="C7" s="6" t="str">
        <x:v>ring</x:v>
      </x:c>
      <x:c r="D7" s="6" t="str">
        <x:v>mining_speed</x:v>
      </x:c>
      <x:c r="E7" s="10" t="n">
        <x:v>0.05</x:v>
      </x:c>
      <x:c r="F7" s="6" t="str">
        <x:v>equipment.adventurersguild.miner_ring.desc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30" hidden="0" customWidth="1"/>
    <x:col min="5" max="5" width="8" hidden="0" customWidth="1"/>
    <x:col min="6" max="6" width="10" hidden="0" customWidth="1"/>
    <x:col min="7" max="7" width="10" hidden="0" customWidth="1"/>
  </x:cols>
  <x:sheetData>
    <x:row r="1" ht="30" customHeight="1">
      <x:c r="A1" s="2" t="str">
        <x:v>商店配表 Shop（3 个商店，按等级解锁）</x:v>
      </x:c>
      <x:c r="B1" s="2" t="str">
        <x:v>商店配表 Shop（3 个商店，按等级解锁）</x:v>
      </x:c>
      <x:c r="C1" s="2" t="str">
        <x:v>商店配表 Shop（3 个商店，按等级解锁）</x:v>
      </x:c>
      <x:c r="D1" s="2" t="str">
        <x:v>商店配表 Shop（3 个商店，按等级解锁）</x:v>
      </x:c>
      <x:c r="E1" s="2" t="str">
        <x:v>商店配表 Shop（3 个商店，按等级解锁）</x:v>
      </x:c>
      <x:c r="F1" s="2" t="str">
        <x:v>商店配表 Shop（3 个商店，按等级解锁）</x:v>
      </x:c>
      <x:c r="G1" s="2" t="str">
        <x:v>商店配表 Shop（3 个商店，按等级解锁）</x:v>
      </x:c>
    </x:row>
    <x:row r="2" ht="22" customHeight="1">
      <x:c r="A2" s="5" t="str">
        <x:v>shop_id</x:v>
      </x:c>
      <x:c r="B2" s="5" t="str">
        <x:v>title_key</x:v>
      </x:c>
      <x:c r="C2" s="5" t="str">
        <x:v>category</x:v>
      </x:c>
      <x:c r="D2" s="5" t="str">
        <x:v>item</x:v>
      </x:c>
      <x:c r="E2" s="5" t="str">
        <x:v>count</x:v>
      </x:c>
      <x:c r="F2" s="5" t="str">
        <x:v>price</x:v>
      </x:c>
      <x:c r="G2" s="5" t="str">
        <x:v>min_level</x:v>
      </x:c>
    </x:row>
    <x:row r="3">
      <x:c r="A3" s="6" t="str">
        <x:v>shop_advanced</x:v>
      </x:c>
      <x:c r="B3" s="6" t="str">
        <x:v>shop.adventurersguild.shop_advanced.title</x:v>
      </x:c>
      <x:c r="C3" s="6" t="str">
        <x:v>equipment</x:v>
      </x:c>
      <x:c r="D3" s="6" t="str">
        <x:v>minecraft:iron_pickaxe</x:v>
      </x:c>
      <x:c r="E3" s="6" t="n">
        <x:v>1</x:v>
      </x:c>
      <x:c r="F3" s="9" t="n">
        <x:v>120</x:v>
      </x:c>
      <x:c r="G3" s="6" t="n">
        <x:v>3</x:v>
      </x:c>
    </x:row>
    <x:row r="4">
      <x:c r="A4" s="6" t="str">
        <x:v>shop_advanced</x:v>
      </x:c>
      <x:c r="B4" s="6" t="str">
        <x:v>shop.adventurersguild.shop_advanced.title</x:v>
      </x:c>
      <x:c r="C4" s="6" t="str">
        <x:v>equipment</x:v>
      </x:c>
      <x:c r="D4" s="6" t="str">
        <x:v>minecraft:iron_sword</x:v>
      </x:c>
      <x:c r="E4" s="6" t="n">
        <x:v>1</x:v>
      </x:c>
      <x:c r="F4" s="9" t="n">
        <x:v>100</x:v>
      </x:c>
      <x:c r="G4" s="6" t="n">
        <x:v>3</x:v>
      </x:c>
    </x:row>
    <x:row r="5">
      <x:c r="A5" s="6" t="str">
        <x:v>shop_advanced</x:v>
      </x:c>
      <x:c r="B5" s="6" t="str">
        <x:v>shop.adventurersguild.shop_advanced.title</x:v>
      </x:c>
      <x:c r="C5" s="6" t="str">
        <x:v>equipment</x:v>
      </x:c>
      <x:c r="D5" s="6" t="str">
        <x:v>minecraft:iron_helmet</x:v>
      </x:c>
      <x:c r="E5" s="6" t="n">
        <x:v>1</x:v>
      </x:c>
      <x:c r="F5" s="9" t="n">
        <x:v>80</x:v>
      </x:c>
      <x:c r="G5" s="6" t="n">
        <x:v>3</x:v>
      </x:c>
    </x:row>
    <x:row r="6">
      <x:c r="A6" s="6" t="str">
        <x:v>shop_advanced</x:v>
      </x:c>
      <x:c r="B6" s="6" t="str">
        <x:v>shop.adventurersguild.shop_advanced.title</x:v>
      </x:c>
      <x:c r="C6" s="6" t="str">
        <x:v>equipment</x:v>
      </x:c>
      <x:c r="D6" s="6" t="str">
        <x:v>minecraft:golden_apple</x:v>
      </x:c>
      <x:c r="E6" s="6" t="n">
        <x:v>1</x:v>
      </x:c>
      <x:c r="F6" s="9" t="n">
        <x:v>150</x:v>
      </x:c>
      <x:c r="G6" s="6" t="n">
        <x:v>3</x:v>
      </x:c>
    </x:row>
    <x:row r="7">
      <x:c r="A7" s="6" t="str">
        <x:v>shop_advanced</x:v>
      </x:c>
      <x:c r="B7" s="6" t="str">
        <x:v>shop.adventurersguild.shop_advanced.title</x:v>
      </x:c>
      <x:c r="C7" s="6" t="str">
        <x:v>equipment</x:v>
      </x:c>
      <x:c r="D7" s="6" t="str">
        <x:v>minecraft:honey_bottle</x:v>
      </x:c>
      <x:c r="E7" s="6" t="n">
        <x:v>2</x:v>
      </x:c>
      <x:c r="F7" s="9" t="n">
        <x:v>40</x:v>
      </x:c>
      <x:c r="G7" s="6" t="n">
        <x:v>3</x:v>
      </x:c>
    </x:row>
    <x:row r="8">
      <x:c r="A8" s="6" t="str">
        <x:v>shop_rare</x:v>
      </x:c>
      <x:c r="B8" s="6" t="str">
        <x:v>shop.adventurersguild.shop_rare.title</x:v>
      </x:c>
      <x:c r="C8" s="6" t="str">
        <x:v>special</x:v>
      </x:c>
      <x:c r="D8" s="6" t="str">
        <x:v>minecraft:diamond_pickaxe</x:v>
      </x:c>
      <x:c r="E8" s="6" t="n">
        <x:v>1</x:v>
      </x:c>
      <x:c r="F8" s="9" t="n">
        <x:v>600</x:v>
      </x:c>
      <x:c r="G8" s="6" t="n">
        <x:v>5</x:v>
      </x:c>
    </x:row>
    <x:row r="9">
      <x:c r="A9" s="6" t="str">
        <x:v>shop_rare</x:v>
      </x:c>
      <x:c r="B9" s="6" t="str">
        <x:v>shop.adventurersguild.shop_rare.title</x:v>
      </x:c>
      <x:c r="C9" s="6" t="str">
        <x:v>special</x:v>
      </x:c>
      <x:c r="D9" s="6" t="str">
        <x:v>minecraft:diamond_sword</x:v>
      </x:c>
      <x:c r="E9" s="6" t="n">
        <x:v>1</x:v>
      </x:c>
      <x:c r="F9" s="9" t="n">
        <x:v>500</x:v>
      </x:c>
      <x:c r="G9" s="6" t="n">
        <x:v>5</x:v>
      </x:c>
    </x:row>
    <x:row r="10">
      <x:c r="A10" s="6" t="str">
        <x:v>shop_rare</x:v>
      </x:c>
      <x:c r="B10" s="6" t="str">
        <x:v>shop.adventurersguild.shop_rare.title</x:v>
      </x:c>
      <x:c r="C10" s="6" t="str">
        <x:v>special</x:v>
      </x:c>
      <x:c r="D10" s="6" t="str">
        <x:v>minecraft:diamond_helmet</x:v>
      </x:c>
      <x:c r="E10" s="6" t="n">
        <x:v>1</x:v>
      </x:c>
      <x:c r="F10" s="9" t="n">
        <x:v>400</x:v>
      </x:c>
      <x:c r="G10" s="6" t="n">
        <x:v>5</x:v>
      </x:c>
    </x:row>
    <x:row r="11">
      <x:c r="A11" s="6" t="str">
        <x:v>shop_rare</x:v>
      </x:c>
      <x:c r="B11" s="6" t="str">
        <x:v>shop.adventurersguild.shop_rare.title</x:v>
      </x:c>
      <x:c r="C11" s="6" t="str">
        <x:v>special</x:v>
      </x:c>
      <x:c r="D11" s="6" t="str">
        <x:v>minecraft:ender_pearl</x:v>
      </x:c>
      <x:c r="E11" s="6" t="n">
        <x:v>4</x:v>
      </x:c>
      <x:c r="F11" s="9" t="n">
        <x:v>200</x:v>
      </x:c>
      <x:c r="G11" s="6" t="n">
        <x:v>5</x:v>
      </x:c>
    </x:row>
    <x:row r="12">
      <x:c r="A12" s="6" t="str">
        <x:v>shop_rare</x:v>
      </x:c>
      <x:c r="B12" s="6" t="str">
        <x:v>shop.adventurersguild.shop_rare.title</x:v>
      </x:c>
      <x:c r="C12" s="6" t="str">
        <x:v>special</x:v>
      </x:c>
      <x:c r="D12" s="6" t="str">
        <x:v>minecraft:golden_apple</x:v>
      </x:c>
      <x:c r="E12" s="6" t="n">
        <x:v>2</x:v>
      </x:c>
      <x:c r="F12" s="9" t="n">
        <x:v>260</x:v>
      </x:c>
      <x:c r="G12" s="6" t="n">
        <x:v>5</x:v>
      </x:c>
    </x:row>
    <x:row r="13">
      <x:c r="A13" s="6" t="str">
        <x:v>shop_supplies</x:v>
      </x:c>
      <x:c r="B13" s="6" t="str">
        <x:v>shop.adventurersguild.shop_supplies.title</x:v>
      </x:c>
      <x:c r="C13" s="6" t="str">
        <x:v>supplies</x:v>
      </x:c>
      <x:c r="D13" s="6" t="str">
        <x:v>minecraft:bread</x:v>
      </x:c>
      <x:c r="E13" s="6" t="n">
        <x:v>4</x:v>
      </x:c>
      <x:c r="F13" s="9" t="n">
        <x:v>10</x:v>
      </x:c>
      <x:c r="G13" s="6" t="n">
        <x:v>1</x:v>
      </x:c>
    </x:row>
    <x:row r="14">
      <x:c r="A14" s="6" t="str">
        <x:v>shop_supplies</x:v>
      </x:c>
      <x:c r="B14" s="6" t="str">
        <x:v>shop.adventurersguild.shop_supplies.title</x:v>
      </x:c>
      <x:c r="C14" s="6" t="str">
        <x:v>supplies</x:v>
      </x:c>
      <x:c r="D14" s="6" t="str">
        <x:v>minecraft:torch</x:v>
      </x:c>
      <x:c r="E14" s="6" t="n">
        <x:v>8</x:v>
      </x:c>
      <x:c r="F14" s="9" t="n">
        <x:v>5</x:v>
      </x:c>
      <x:c r="G14" s="6" t="n">
        <x:v>1</x:v>
      </x:c>
    </x:row>
    <x:row r="15">
      <x:c r="A15" s="6" t="str">
        <x:v>shop_supplies</x:v>
      </x:c>
      <x:c r="B15" s="6" t="str">
        <x:v>shop.adventurersguild.shop_supplies.title</x:v>
      </x:c>
      <x:c r="C15" s="6" t="str">
        <x:v>supplies</x:v>
      </x:c>
      <x:c r="D15" s="6" t="str">
        <x:v>minecraft:arrow</x:v>
      </x:c>
      <x:c r="E15" s="6" t="n">
        <x:v>8</x:v>
      </x:c>
      <x:c r="F15" s="9" t="n">
        <x:v>12</x:v>
      </x:c>
      <x:c r="G15" s="6" t="n">
        <x:v>1</x:v>
      </x:c>
    </x:row>
    <x:row r="16">
      <x:c r="A16" s="6" t="str">
        <x:v>shop_supplies</x:v>
      </x:c>
      <x:c r="B16" s="6" t="str">
        <x:v>shop.adventurersguild.shop_supplies.title</x:v>
      </x:c>
      <x:c r="C16" s="6" t="str">
        <x:v>supplies</x:v>
      </x:c>
      <x:c r="D16" s="6" t="str">
        <x:v>minecraft:oak_planks</x:v>
      </x:c>
      <x:c r="E16" s="6" t="n">
        <x:v>16</x:v>
      </x:c>
      <x:c r="F16" s="9" t="n">
        <x:v>8</x:v>
      </x:c>
      <x:c r="G16" s="6" t="n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6" hidden="0" customWidth="1"/>
    <x:col min="4" max="4" width="10" hidden="0" customWidth="1"/>
    <x:col min="5" max="5" width="16" hidden="0" customWidth="1"/>
    <x:col min="6" max="6" width="34" hidden="0" customWidth="1"/>
  </x:cols>
  <x:sheetData>
    <x:row r="1" ht="30" customHeight="1">
      <x:c r="A1" s="2" t="str">
        <x:v>经济配置 Economy（收入=引用 Quest 表；消耗=刷新/商店规划）</x:v>
      </x:c>
      <x:c r="B1" s="2" t="str">
        <x:v>经济配置 Economy（收入=引用 Quest 表；消耗=刷新/商店规划）</x:v>
      </x:c>
      <x:c r="C1" s="2" t="str">
        <x:v>经济配置 Economy（收入=引用 Quest 表；消耗=刷新/商店规划）</x:v>
      </x:c>
      <x:c r="D1" s="2" t="str">
        <x:v>经济配置 Economy（收入=引用 Quest 表；消耗=刷新/商店规划）</x:v>
      </x:c>
      <x:c r="E1" s="2" t="str">
        <x:v>经济配置 Economy（收入=引用 Quest 表；消耗=刷新/商店规划）</x:v>
      </x:c>
      <x:c r="F1" s="2" t="str">
        <x:v>经济配置 Economy（收入=引用 Quest 表；消耗=刷新/商店规划）</x:v>
      </x:c>
    </x:row>
    <x:row r="3">
      <x:c r="A3" s="12" t="str">
        <x:v>收入 · 任务奖励（数据源: Quest 表）</x:v>
      </x:c>
      <x:c r="B3" s="12" t="str">
        <x:v>收入 · 任务奖励（数据源: Quest 表）</x:v>
      </x:c>
      <x:c r="C3" s="12" t="str">
        <x:v>收入 · 任务奖励（数据源: Quest 表）</x:v>
      </x:c>
      <x:c r="D3" s="12" t="str">
        <x:v>收入 · 任务奖励（数据源: Quest 表）</x:v>
      </x:c>
      <x:c r="E3" s="12" t="str">
        <x:v>收入 · 任务奖励（数据源: Quest 表）</x:v>
      </x:c>
      <x:c r="F3" s="12" t="str">
        <x:v>收入 · 任务奖励（数据源: Quest 表）</x:v>
      </x:c>
    </x:row>
    <x:row r="4" ht="22" customHeight="1">
      <x:c r="A4" s="5" t="str">
        <x:v>项目</x:v>
      </x:c>
      <x:c r="B4" s="5" t="str">
        <x:v>类型</x:v>
      </x:c>
      <x:c r="C4" s="5" t="str">
        <x:v>金币</x:v>
      </x:c>
      <x:c r="D4" s="5" t="str">
        <x:v>EXP</x:v>
      </x:c>
      <x:c r="E4" s="5" t="str">
        <x:v>声望</x:v>
      </x:c>
      <x:c r="F4" s="5" t="str">
        <x:v>来源</x:v>
      </x:c>
    </x:row>
    <x:row r="5">
      <x:c r="A5" s="6" t="str">
        <x:v>AG_END_001</x:v>
      </x:c>
      <x:c r="B5" s="6" t="str">
        <x:v>收入</x:v>
      </x:c>
      <x:c r="C5" s="6" t="n">
        <x:f>'Quest'!J3</x:f>
        <x:v>0</x:v>
      </x:c>
      <x:c r="D5" s="6" t="n">
        <x:f>'Quest'!K3</x:f>
        <x:v>100</x:v>
      </x:c>
      <x:c r="E5" s="6" t="n">
        <x:f>'Quest'!L3</x:f>
        <x:v>30</x:v>
      </x:c>
      <x:c r="F5" s="6" t="str">
        <x:v>Quest!A3</x:v>
      </x:c>
    </x:row>
    <x:row r="6">
      <x:c r="A6" s="6" t="str">
        <x:v>AG_END_002</x:v>
      </x:c>
      <x:c r="B6" s="6" t="str">
        <x:v>收入</x:v>
      </x:c>
      <x:c r="C6" s="6" t="n">
        <x:f>'Quest'!J4</x:f>
        <x:v>0</x:v>
      </x:c>
      <x:c r="D6" s="6" t="n">
        <x:f>'Quest'!K4</x:f>
        <x:v>100</x:v>
      </x:c>
      <x:c r="E6" s="6" t="n">
        <x:f>'Quest'!L4</x:f>
        <x:v>30</x:v>
      </x:c>
      <x:c r="F6" s="6" t="str">
        <x:v>Quest!A4</x:v>
      </x:c>
    </x:row>
    <x:row r="7">
      <x:c r="A7" s="6" t="str">
        <x:v>AG_END_003</x:v>
      </x:c>
      <x:c r="B7" s="6" t="str">
        <x:v>收入</x:v>
      </x:c>
      <x:c r="C7" s="6" t="n">
        <x:f>'Quest'!J5</x:f>
        <x:v>0</x:v>
      </x:c>
      <x:c r="D7" s="6" t="n">
        <x:f>'Quest'!K5</x:f>
        <x:v>100</x:v>
      </x:c>
      <x:c r="E7" s="6" t="n">
        <x:f>'Quest'!L5</x:f>
        <x:v>30</x:v>
      </x:c>
      <x:c r="F7" s="6" t="str">
        <x:v>Quest!A5</x:v>
      </x:c>
    </x:row>
    <x:row r="8">
      <x:c r="A8" s="6" t="str">
        <x:v>AG_END_004</x:v>
      </x:c>
      <x:c r="B8" s="6" t="str">
        <x:v>收入</x:v>
      </x:c>
      <x:c r="C8" s="6" t="n">
        <x:f>'Quest'!J6</x:f>
        <x:v>0</x:v>
      </x:c>
      <x:c r="D8" s="6" t="n">
        <x:f>'Quest'!K6</x:f>
        <x:v>60</x:v>
      </x:c>
      <x:c r="E8" s="6" t="n">
        <x:f>'Quest'!L6</x:f>
        <x:v>20</x:v>
      </x:c>
      <x:c r="F8" s="6" t="str">
        <x:v>Quest!A6</x:v>
      </x:c>
    </x:row>
    <x:row r="9">
      <x:c r="A9" s="6" t="str">
        <x:v>AG_END_005</x:v>
      </x:c>
      <x:c r="B9" s="6" t="str">
        <x:v>收入</x:v>
      </x:c>
      <x:c r="C9" s="6" t="n">
        <x:f>'Quest'!J7</x:f>
        <x:v>0</x:v>
      </x:c>
      <x:c r="D9" s="6" t="n">
        <x:f>'Quest'!K7</x:f>
        <x:v>120</x:v>
      </x:c>
      <x:c r="E9" s="6" t="n">
        <x:f>'Quest'!L7</x:f>
        <x:v>40</x:v>
      </x:c>
      <x:c r="F9" s="6" t="str">
        <x:v>Quest!A7</x:v>
      </x:c>
    </x:row>
    <x:row r="10">
      <x:c r="A10" s="6" t="str">
        <x:v>AG_END_006</x:v>
      </x:c>
      <x:c r="B10" s="6" t="str">
        <x:v>收入</x:v>
      </x:c>
      <x:c r="C10" s="6" t="n">
        <x:f>'Quest'!J8</x:f>
        <x:v>0</x:v>
      </x:c>
      <x:c r="D10" s="6" t="n">
        <x:f>'Quest'!K8</x:f>
        <x:v>120</x:v>
      </x:c>
      <x:c r="E10" s="6" t="n">
        <x:f>'Quest'!L8</x:f>
        <x:v>40</x:v>
      </x:c>
      <x:c r="F10" s="6" t="str">
        <x:v>Quest!A8</x:v>
      </x:c>
    </x:row>
    <x:row r="11">
      <x:c r="A11" s="6" t="str">
        <x:v>AG_END_007</x:v>
      </x:c>
      <x:c r="B11" s="6" t="str">
        <x:v>收入</x:v>
      </x:c>
      <x:c r="C11" s="6" t="n">
        <x:f>'Quest'!J9</x:f>
        <x:v>50</x:v>
      </x:c>
      <x:c r="D11" s="6" t="n">
        <x:f>'Quest'!K9</x:f>
        <x:v>150</x:v>
      </x:c>
      <x:c r="E11" s="6" t="n">
        <x:f>'Quest'!L9</x:f>
        <x:v>50</x:v>
      </x:c>
      <x:c r="F11" s="6" t="str">
        <x:v>Quest!A9</x:v>
      </x:c>
    </x:row>
    <x:row r="12">
      <x:c r="A12" s="6" t="str">
        <x:v>AG_END_008</x:v>
      </x:c>
      <x:c r="B12" s="6" t="str">
        <x:v>收入</x:v>
      </x:c>
      <x:c r="C12" s="6" t="n">
        <x:f>'Quest'!J10</x:f>
        <x:v>0</x:v>
      </x:c>
      <x:c r="D12" s="6" t="n">
        <x:f>'Quest'!K10</x:f>
        <x:v>60</x:v>
      </x:c>
      <x:c r="E12" s="6" t="n">
        <x:f>'Quest'!L10</x:f>
        <x:v>20</x:v>
      </x:c>
      <x:c r="F12" s="6" t="str">
        <x:v>Quest!A10</x:v>
      </x:c>
    </x:row>
    <x:row r="13">
      <x:c r="A13" s="6" t="str">
        <x:v>AG_END_009</x:v>
      </x:c>
      <x:c r="B13" s="6" t="str">
        <x:v>收入</x:v>
      </x:c>
      <x:c r="C13" s="6" t="n">
        <x:f>'Quest'!J11</x:f>
        <x:v>0</x:v>
      </x:c>
      <x:c r="D13" s="6" t="n">
        <x:f>'Quest'!K11</x:f>
        <x:v>60</x:v>
      </x:c>
      <x:c r="E13" s="6" t="n">
        <x:f>'Quest'!L11</x:f>
        <x:v>20</x:v>
      </x:c>
      <x:c r="F13" s="6" t="str">
        <x:v>Quest!A11</x:v>
      </x:c>
    </x:row>
    <x:row r="14">
      <x:c r="A14" s="6" t="str">
        <x:v>AG_END_010</x:v>
      </x:c>
      <x:c r="B14" s="6" t="str">
        <x:v>收入</x:v>
      </x:c>
      <x:c r="C14" s="6" t="n">
        <x:f>'Quest'!J12</x:f>
        <x:v>0</x:v>
      </x:c>
      <x:c r="D14" s="6" t="n">
        <x:f>'Quest'!K12</x:f>
        <x:v>120</x:v>
      </x:c>
      <x:c r="E14" s="6" t="n">
        <x:f>'Quest'!L12</x:f>
        <x:v>40</x:v>
      </x:c>
      <x:c r="F14" s="6" t="str">
        <x:v>Quest!A12</x:v>
      </x:c>
    </x:row>
    <x:row r="15">
      <x:c r="A15" s="6" t="str">
        <x:v>AG_END_011</x:v>
      </x:c>
      <x:c r="B15" s="6" t="str">
        <x:v>收入</x:v>
      </x:c>
      <x:c r="C15" s="6" t="n">
        <x:f>'Quest'!J13</x:f>
        <x:v>100</x:v>
      </x:c>
      <x:c r="D15" s="6" t="n">
        <x:f>'Quest'!K13</x:f>
        <x:v>200</x:v>
      </x:c>
      <x:c r="E15" s="6" t="n">
        <x:f>'Quest'!L13</x:f>
        <x:v>60</x:v>
      </x:c>
      <x:c r="F15" s="6" t="str">
        <x:v>Quest!A13</x:v>
      </x:c>
    </x:row>
    <x:row r="16">
      <x:c r="A16" s="6" t="str">
        <x:v>AG_END_012</x:v>
      </x:c>
      <x:c r="B16" s="6" t="str">
        <x:v>收入</x:v>
      </x:c>
      <x:c r="C16" s="6" t="n">
        <x:f>'Quest'!J14</x:f>
        <x:v>100</x:v>
      </x:c>
      <x:c r="D16" s="6" t="n">
        <x:f>'Quest'!K14</x:f>
        <x:v>200</x:v>
      </x:c>
      <x:c r="E16" s="6" t="n">
        <x:f>'Quest'!L14</x:f>
        <x:v>60</x:v>
      </x:c>
      <x:c r="F16" s="6" t="str">
        <x:v>Quest!A14</x:v>
      </x:c>
    </x:row>
    <x:row r="17">
      <x:c r="A17" s="6" t="str">
        <x:v>AG_END_013</x:v>
      </x:c>
      <x:c r="B17" s="6" t="str">
        <x:v>收入</x:v>
      </x:c>
      <x:c r="C17" s="6" t="n">
        <x:f>'Quest'!J15</x:f>
        <x:v>200</x:v>
      </x:c>
      <x:c r="D17" s="6" t="n">
        <x:f>'Quest'!K15</x:f>
        <x:v>300</x:v>
      </x:c>
      <x:c r="E17" s="6" t="n">
        <x:f>'Quest'!L15</x:f>
        <x:v>80</x:v>
      </x:c>
      <x:c r="F17" s="6" t="str">
        <x:v>Quest!A15</x:v>
      </x:c>
    </x:row>
    <x:row r="18">
      <x:c r="A18" s="6" t="str">
        <x:v>AG_END_014</x:v>
      </x:c>
      <x:c r="B18" s="6" t="str">
        <x:v>收入</x:v>
      </x:c>
      <x:c r="C18" s="6" t="n">
        <x:f>'Quest'!J16</x:f>
        <x:v>0</x:v>
      </x:c>
      <x:c r="D18" s="6" t="n">
        <x:f>'Quest'!K16</x:f>
        <x:v>300</x:v>
      </x:c>
      <x:c r="E18" s="6" t="n">
        <x:f>'Quest'!L16</x:f>
        <x:v>80</x:v>
      </x:c>
      <x:c r="F18" s="6" t="str">
        <x:v>Quest!A16</x:v>
      </x:c>
    </x:row>
    <x:row r="19">
      <x:c r="A19" s="6" t="str">
        <x:v>AG_END_015</x:v>
      </x:c>
      <x:c r="B19" s="6" t="str">
        <x:v>收入</x:v>
      </x:c>
      <x:c r="C19" s="6" t="n">
        <x:f>'Quest'!J17</x:f>
        <x:v>0</x:v>
      </x:c>
      <x:c r="D19" s="6" t="n">
        <x:f>'Quest'!K17</x:f>
        <x:v>300</x:v>
      </x:c>
      <x:c r="E19" s="6" t="n">
        <x:f>'Quest'!L17</x:f>
        <x:v>80</x:v>
      </x:c>
      <x:c r="F19" s="6" t="str">
        <x:v>Quest!A17</x:v>
      </x:c>
    </x:row>
    <x:row r="20">
      <x:c r="A20" s="6" t="str">
        <x:v>AG_END_016</x:v>
      </x:c>
      <x:c r="B20" s="6" t="str">
        <x:v>收入</x:v>
      </x:c>
      <x:c r="C20" s="6" t="n">
        <x:f>'Quest'!J18</x:f>
        <x:v>0</x:v>
      </x:c>
      <x:c r="D20" s="6" t="n">
        <x:f>'Quest'!K18</x:f>
        <x:v>120</x:v>
      </x:c>
      <x:c r="E20" s="6" t="n">
        <x:f>'Quest'!L18</x:f>
        <x:v>40</x:v>
      </x:c>
      <x:c r="F20" s="6" t="str">
        <x:v>Quest!A18</x:v>
      </x:c>
    </x:row>
    <x:row r="21">
      <x:c r="A21" s="6" t="str">
        <x:v>AG_END_017</x:v>
      </x:c>
      <x:c r="B21" s="6" t="str">
        <x:v>收入</x:v>
      </x:c>
      <x:c r="C21" s="6" t="n">
        <x:f>'Quest'!J19</x:f>
        <x:v>0</x:v>
      </x:c>
      <x:c r="D21" s="6" t="n">
        <x:f>'Quest'!K19</x:f>
        <x:v>120</x:v>
      </x:c>
      <x:c r="E21" s="6" t="n">
        <x:f>'Quest'!L19</x:f>
        <x:v>40</x:v>
      </x:c>
      <x:c r="F21" s="6" t="str">
        <x:v>Quest!A19</x:v>
      </x:c>
    </x:row>
    <x:row r="22">
      <x:c r="A22" s="6" t="str">
        <x:v>AG_END_018</x:v>
      </x:c>
      <x:c r="B22" s="6" t="str">
        <x:v>收入</x:v>
      </x:c>
      <x:c r="C22" s="6" t="n">
        <x:f>'Quest'!J20</x:f>
        <x:v>0</x:v>
      </x:c>
      <x:c r="D22" s="6" t="n">
        <x:f>'Quest'!K20</x:f>
        <x:v>60</x:v>
      </x:c>
      <x:c r="E22" s="6" t="n">
        <x:f>'Quest'!L20</x:f>
        <x:v>20</x:v>
      </x:c>
      <x:c r="F22" s="6" t="str">
        <x:v>Quest!A20</x:v>
      </x:c>
    </x:row>
    <x:row r="23">
      <x:c r="A23" s="6" t="str">
        <x:v>AG_END_019</x:v>
      </x:c>
      <x:c r="B23" s="6" t="str">
        <x:v>收入</x:v>
      </x:c>
      <x:c r="C23" s="6" t="n">
        <x:f>'Quest'!J21</x:f>
        <x:v>0</x:v>
      </x:c>
      <x:c r="D23" s="6" t="n">
        <x:f>'Quest'!K21</x:f>
        <x:v>200</x:v>
      </x:c>
      <x:c r="E23" s="6" t="n">
        <x:f>'Quest'!L21</x:f>
        <x:v>60</x:v>
      </x:c>
      <x:c r="F23" s="6" t="str">
        <x:v>Quest!A21</x:v>
      </x:c>
    </x:row>
    <x:row r="24">
      <x:c r="A24" s="6" t="str">
        <x:v>AG_END_020</x:v>
      </x:c>
      <x:c r="B24" s="6" t="str">
        <x:v>收入</x:v>
      </x:c>
      <x:c r="C24" s="6" t="n">
        <x:f>'Quest'!J22</x:f>
        <x:v>300</x:v>
      </x:c>
      <x:c r="D24" s="6" t="n">
        <x:f>'Quest'!K22</x:f>
        <x:v>400</x:v>
      </x:c>
      <x:c r="E24" s="6" t="n">
        <x:f>'Quest'!L22</x:f>
        <x:v>100</x:v>
      </x:c>
      <x:c r="F24" s="6" t="str">
        <x:v>Quest!A22</x:v>
      </x:c>
    </x:row>
    <x:row r="25">
      <x:c r="A25" s="6" t="str">
        <x:v>AG_END_021</x:v>
      </x:c>
      <x:c r="B25" s="6" t="str">
        <x:v>收入</x:v>
      </x:c>
      <x:c r="C25" s="6" t="n">
        <x:f>'Quest'!J23</x:f>
        <x:v>0</x:v>
      </x:c>
      <x:c r="D25" s="6" t="n">
        <x:f>'Quest'!K23</x:f>
        <x:v>60</x:v>
      </x:c>
      <x:c r="E25" s="6" t="n">
        <x:f>'Quest'!L23</x:f>
        <x:v>20</x:v>
      </x:c>
      <x:c r="F25" s="6" t="str">
        <x:v>Quest!A23</x:v>
      </x:c>
    </x:row>
    <x:row r="26">
      <x:c r="A26" s="6" t="str">
        <x:v>AG_END_022</x:v>
      </x:c>
      <x:c r="B26" s="6" t="str">
        <x:v>收入</x:v>
      </x:c>
      <x:c r="C26" s="6" t="n">
        <x:f>'Quest'!J24</x:f>
        <x:v>0</x:v>
      </x:c>
      <x:c r="D26" s="6" t="n">
        <x:f>'Quest'!K24</x:f>
        <x:v>200</x:v>
      </x:c>
      <x:c r="E26" s="6" t="n">
        <x:f>'Quest'!L24</x:f>
        <x:v>60</x:v>
      </x:c>
      <x:c r="F26" s="6" t="str">
        <x:v>Quest!A24</x:v>
      </x:c>
    </x:row>
    <x:row r="27">
      <x:c r="A27" s="6" t="str">
        <x:v>AG_END_023</x:v>
      </x:c>
      <x:c r="B27" s="6" t="str">
        <x:v>收入</x:v>
      </x:c>
      <x:c r="C27" s="6" t="n">
        <x:f>'Quest'!J25</x:f>
        <x:v>0</x:v>
      </x:c>
      <x:c r="D27" s="6" t="n">
        <x:f>'Quest'!K25</x:f>
        <x:v>150</x:v>
      </x:c>
      <x:c r="E27" s="6" t="n">
        <x:f>'Quest'!L25</x:f>
        <x:v>50</x:v>
      </x:c>
      <x:c r="F27" s="6" t="str">
        <x:v>Quest!A25</x:v>
      </x:c>
    </x:row>
    <x:row r="28">
      <x:c r="A28" s="6" t="str">
        <x:v>AG_END_024</x:v>
      </x:c>
      <x:c r="B28" s="6" t="str">
        <x:v>收入</x:v>
      </x:c>
      <x:c r="C28" s="6" t="n">
        <x:f>'Quest'!J26</x:f>
        <x:v>500</x:v>
      </x:c>
      <x:c r="D28" s="6" t="n">
        <x:f>'Quest'!K26</x:f>
        <x:v>500</x:v>
      </x:c>
      <x:c r="E28" s="6" t="n">
        <x:f>'Quest'!L26</x:f>
        <x:v>150</x:v>
      </x:c>
      <x:c r="F28" s="6" t="str">
        <x:v>Quest!A26</x:v>
      </x:c>
    </x:row>
    <x:row r="29">
      <x:c r="A29" s="6" t="str">
        <x:v>AG_MAIN_000</x:v>
      </x:c>
      <x:c r="B29" s="6" t="str">
        <x:v>收入</x:v>
      </x:c>
      <x:c r="C29" s="6" t="n">
        <x:f>'Quest'!J27</x:f>
        <x:v>0</x:v>
      </x:c>
      <x:c r="D29" s="6" t="n">
        <x:f>'Quest'!K27</x:f>
        <x:v>30</x:v>
      </x:c>
      <x:c r="E29" s="6" t="n">
        <x:f>'Quest'!L27</x:f>
        <x:v>15</x:v>
      </x:c>
      <x:c r="F29" s="6" t="str">
        <x:v>Quest!A27</x:v>
      </x:c>
    </x:row>
    <x:row r="30">
      <x:c r="A30" s="6" t="str">
        <x:v>AG_MAIN_001</x:v>
      </x:c>
      <x:c r="B30" s="6" t="str">
        <x:v>收入</x:v>
      </x:c>
      <x:c r="C30" s="6" t="n">
        <x:f>'Quest'!J28</x:f>
        <x:v>0</x:v>
      </x:c>
      <x:c r="D30" s="6" t="n">
        <x:f>'Quest'!K28</x:f>
        <x:v>30</x:v>
      </x:c>
      <x:c r="E30" s="6" t="n">
        <x:f>'Quest'!L28</x:f>
        <x:v>15</x:v>
      </x:c>
      <x:c r="F30" s="6" t="str">
        <x:v>Quest!A28</x:v>
      </x:c>
    </x:row>
    <x:row r="31">
      <x:c r="A31" s="6" t="str">
        <x:v>AG_MAIN_002</x:v>
      </x:c>
      <x:c r="B31" s="6" t="str">
        <x:v>收入</x:v>
      </x:c>
      <x:c r="C31" s="6" t="n">
        <x:f>'Quest'!J29</x:f>
        <x:v>20</x:v>
      </x:c>
      <x:c r="D31" s="6" t="n">
        <x:f>'Quest'!K29</x:f>
        <x:v>40</x:v>
      </x:c>
      <x:c r="E31" s="6" t="n">
        <x:f>'Quest'!L29</x:f>
        <x:v>20</x:v>
      </x:c>
      <x:c r="F31" s="6" t="str">
        <x:v>Quest!A29</x:v>
      </x:c>
    </x:row>
    <x:row r="32">
      <x:c r="A32" s="6" t="str">
        <x:v>AG_MAIN_101</x:v>
      </x:c>
      <x:c r="B32" s="6" t="str">
        <x:v>收入</x:v>
      </x:c>
      <x:c r="C32" s="6" t="n">
        <x:f>'Quest'!J30</x:f>
        <x:v>0</x:v>
      </x:c>
      <x:c r="D32" s="6" t="n">
        <x:f>'Quest'!K30</x:f>
        <x:v>50</x:v>
      </x:c>
      <x:c r="E32" s="6" t="n">
        <x:f>'Quest'!L30</x:f>
        <x:v>20</x:v>
      </x:c>
      <x:c r="F32" s="6" t="str">
        <x:v>Quest!A30</x:v>
      </x:c>
    </x:row>
    <x:row r="33">
      <x:c r="A33" s="6" t="str">
        <x:v>AG_MAIN_102</x:v>
      </x:c>
      <x:c r="B33" s="6" t="str">
        <x:v>收入</x:v>
      </x:c>
      <x:c r="C33" s="6" t="n">
        <x:f>'Quest'!J31</x:f>
        <x:v>10</x:v>
      </x:c>
      <x:c r="D33" s="6" t="n">
        <x:f>'Quest'!K31</x:f>
        <x:v>40</x:v>
      </x:c>
      <x:c r="E33" s="6" t="n">
        <x:f>'Quest'!L31</x:f>
        <x:v>15</x:v>
      </x:c>
      <x:c r="F33" s="6" t="str">
        <x:v>Quest!A31</x:v>
      </x:c>
    </x:row>
    <x:row r="34">
      <x:c r="A34" s="6" t="str">
        <x:v>AG_MAIN_103</x:v>
      </x:c>
      <x:c r="B34" s="6" t="str">
        <x:v>收入</x:v>
      </x:c>
      <x:c r="C34" s="6" t="n">
        <x:f>'Quest'!J32</x:f>
        <x:v>10</x:v>
      </x:c>
      <x:c r="D34" s="6" t="n">
        <x:f>'Quest'!K32</x:f>
        <x:v>45</x:v>
      </x:c>
      <x:c r="E34" s="6" t="n">
        <x:f>'Quest'!L32</x:f>
        <x:v>15</x:v>
      </x:c>
      <x:c r="F34" s="6" t="str">
        <x:v>Quest!A32</x:v>
      </x:c>
    </x:row>
    <x:row r="35">
      <x:c r="A35" s="6" t="str">
        <x:v>AG_MAIN_104</x:v>
      </x:c>
      <x:c r="B35" s="6" t="str">
        <x:v>收入</x:v>
      </x:c>
      <x:c r="C35" s="6" t="n">
        <x:f>'Quest'!J33</x:f>
        <x:v>0</x:v>
      </x:c>
      <x:c r="D35" s="6" t="n">
        <x:f>'Quest'!K33</x:f>
        <x:v>50</x:v>
      </x:c>
      <x:c r="E35" s="6" t="n">
        <x:f>'Quest'!L33</x:f>
        <x:v>20</x:v>
      </x:c>
      <x:c r="F35" s="6" t="str">
        <x:v>Quest!A33</x:v>
      </x:c>
    </x:row>
    <x:row r="36">
      <x:c r="A36" s="6" t="str">
        <x:v>AG_MAIN_105</x:v>
      </x:c>
      <x:c r="B36" s="6" t="str">
        <x:v>收入</x:v>
      </x:c>
      <x:c r="C36" s="6" t="n">
        <x:f>'Quest'!J34</x:f>
        <x:v>0</x:v>
      </x:c>
      <x:c r="D36" s="6" t="n">
        <x:f>'Quest'!K34</x:f>
        <x:v>60</x:v>
      </x:c>
      <x:c r="E36" s="6" t="n">
        <x:f>'Quest'!L34</x:f>
        <x:v>25</x:v>
      </x:c>
      <x:c r="F36" s="6" t="str">
        <x:v>Quest!A34</x:v>
      </x:c>
    </x:row>
    <x:row r="37">
      <x:c r="A37" s="6" t="str">
        <x:v>AG_MAIN_201</x:v>
      </x:c>
      <x:c r="B37" s="6" t="str">
        <x:v>收入</x:v>
      </x:c>
      <x:c r="C37" s="6" t="n">
        <x:f>'Quest'!J35</x:f>
        <x:v>0</x:v>
      </x:c>
      <x:c r="D37" s="6" t="n">
        <x:f>'Quest'!K35</x:f>
        <x:v>60</x:v>
      </x:c>
      <x:c r="E37" s="6" t="n">
        <x:f>'Quest'!L35</x:f>
        <x:v>20</x:v>
      </x:c>
      <x:c r="F37" s="6" t="str">
        <x:v>Quest!A35</x:v>
      </x:c>
    </x:row>
    <x:row r="38">
      <x:c r="A38" s="6" t="str">
        <x:v>AG_MAIN_202</x:v>
      </x:c>
      <x:c r="B38" s="6" t="str">
        <x:v>收入</x:v>
      </x:c>
      <x:c r="C38" s="6" t="n">
        <x:f>'Quest'!J36</x:f>
        <x:v>0</x:v>
      </x:c>
      <x:c r="D38" s="6" t="n">
        <x:f>'Quest'!K36</x:f>
        <x:v>70</x:v>
      </x:c>
      <x:c r="E38" s="6" t="n">
        <x:f>'Quest'!L36</x:f>
        <x:v>25</x:v>
      </x:c>
      <x:c r="F38" s="6" t="str">
        <x:v>Quest!A36</x:v>
      </x:c>
    </x:row>
    <x:row r="39">
      <x:c r="A39" s="6" t="str">
        <x:v>AG_MAIN_203</x:v>
      </x:c>
      <x:c r="B39" s="6" t="str">
        <x:v>收入</x:v>
      </x:c>
      <x:c r="C39" s="6" t="n">
        <x:f>'Quest'!J37</x:f>
        <x:v>20</x:v>
      </x:c>
      <x:c r="D39" s="6" t="n">
        <x:f>'Quest'!K37</x:f>
        <x:v>70</x:v>
      </x:c>
      <x:c r="E39" s="6" t="n">
        <x:f>'Quest'!L37</x:f>
        <x:v>25</x:v>
      </x:c>
      <x:c r="F39" s="6" t="str">
        <x:v>Quest!A37</x:v>
      </x:c>
    </x:row>
    <x:row r="40">
      <x:c r="A40" s="6" t="str">
        <x:v>AG_MAIN_204</x:v>
      </x:c>
      <x:c r="B40" s="6" t="str">
        <x:v>收入</x:v>
      </x:c>
      <x:c r="C40" s="6" t="n">
        <x:f>'Quest'!J38</x:f>
        <x:v>0</x:v>
      </x:c>
      <x:c r="D40" s="6" t="n">
        <x:f>'Quest'!K38</x:f>
        <x:v>40</x:v>
      </x:c>
      <x:c r="E40" s="6" t="n">
        <x:f>'Quest'!L38</x:f>
        <x:v>15</x:v>
      </x:c>
      <x:c r="F40" s="6" t="str">
        <x:v>Quest!A38</x:v>
      </x:c>
    </x:row>
    <x:row r="41">
      <x:c r="A41" s="6" t="str">
        <x:v>AG_MAIN_205</x:v>
      </x:c>
      <x:c r="B41" s="6" t="str">
        <x:v>收入</x:v>
      </x:c>
      <x:c r="C41" s="6" t="n">
        <x:f>'Quest'!J39</x:f>
        <x:v>20</x:v>
      </x:c>
      <x:c r="D41" s="6" t="n">
        <x:f>'Quest'!K39</x:f>
        <x:v>60</x:v>
      </x:c>
      <x:c r="E41" s="6" t="n">
        <x:f>'Quest'!L39</x:f>
        <x:v>20</x:v>
      </x:c>
      <x:c r="F41" s="6" t="str">
        <x:v>Quest!A39</x:v>
      </x:c>
    </x:row>
    <x:row r="42">
      <x:c r="A42" s="6" t="str">
        <x:v>AG_MAIN_206</x:v>
      </x:c>
      <x:c r="B42" s="6" t="str">
        <x:v>收入</x:v>
      </x:c>
      <x:c r="C42" s="6" t="n">
        <x:f>'Quest'!J40</x:f>
        <x:v>0</x:v>
      </x:c>
      <x:c r="D42" s="6" t="n">
        <x:f>'Quest'!K40</x:f>
        <x:v>60</x:v>
      </x:c>
      <x:c r="E42" s="6" t="n">
        <x:f>'Quest'!L40</x:f>
        <x:v>20</x:v>
      </x:c>
      <x:c r="F42" s="6" t="str">
        <x:v>Quest!A40</x:v>
      </x:c>
    </x:row>
    <x:row r="43">
      <x:c r="A43" s="6" t="str">
        <x:v>AG_MAIN_207</x:v>
      </x:c>
      <x:c r="B43" s="6" t="str">
        <x:v>收入</x:v>
      </x:c>
      <x:c r="C43" s="6" t="n">
        <x:f>'Quest'!J41</x:f>
        <x:v>0</x:v>
      </x:c>
      <x:c r="D43" s="6" t="n">
        <x:f>'Quest'!K41</x:f>
        <x:v>80</x:v>
      </x:c>
      <x:c r="E43" s="6" t="n">
        <x:f>'Quest'!L41</x:f>
        <x:v>30</x:v>
      </x:c>
      <x:c r="F43" s="6" t="str">
        <x:v>Quest!A41</x:v>
      </x:c>
    </x:row>
    <x:row r="44">
      <x:c r="A44" s="6" t="str">
        <x:v>AG_MAIN_208</x:v>
      </x:c>
      <x:c r="B44" s="6" t="str">
        <x:v>收入</x:v>
      </x:c>
      <x:c r="C44" s="6" t="n">
        <x:f>'Quest'!J42</x:f>
        <x:v>0</x:v>
      </x:c>
      <x:c r="D44" s="6" t="n">
        <x:f>'Quest'!K42</x:f>
        <x:v>80</x:v>
      </x:c>
      <x:c r="E44" s="6" t="n">
        <x:f>'Quest'!L42</x:f>
        <x:v>30</x:v>
      </x:c>
      <x:c r="F44" s="6" t="str">
        <x:v>Quest!A42</x:v>
      </x:c>
    </x:row>
    <x:row r="45">
      <x:c r="A45" s="6" t="str">
        <x:v>AG_MAIN_301</x:v>
      </x:c>
      <x:c r="B45" s="6" t="str">
        <x:v>收入</x:v>
      </x:c>
      <x:c r="C45" s="6" t="n">
        <x:f>'Quest'!J43</x:f>
        <x:v>0</x:v>
      </x:c>
      <x:c r="D45" s="6" t="n">
        <x:f>'Quest'!K43</x:f>
        <x:v>80</x:v>
      </x:c>
      <x:c r="E45" s="6" t="n">
        <x:f>'Quest'!L43</x:f>
        <x:v>30</x:v>
      </x:c>
      <x:c r="F45" s="6" t="str">
        <x:v>Quest!A43</x:v>
      </x:c>
    </x:row>
    <x:row r="46">
      <x:c r="A46" s="6" t="str">
        <x:v>AG_MAIN_302</x:v>
      </x:c>
      <x:c r="B46" s="6" t="str">
        <x:v>收入</x:v>
      </x:c>
      <x:c r="C46" s="6" t="n">
        <x:f>'Quest'!J44</x:f>
        <x:v>0</x:v>
      </x:c>
      <x:c r="D46" s="6" t="n">
        <x:f>'Quest'!K44</x:f>
        <x:v>80</x:v>
      </x:c>
      <x:c r="E46" s="6" t="n">
        <x:f>'Quest'!L44</x:f>
        <x:v>30</x:v>
      </x:c>
      <x:c r="F46" s="6" t="str">
        <x:v>Quest!A44</x:v>
      </x:c>
    </x:row>
    <x:row r="47">
      <x:c r="A47" s="6" t="str">
        <x:v>AG_MAIN_303</x:v>
      </x:c>
      <x:c r="B47" s="6" t="str">
        <x:v>收入</x:v>
      </x:c>
      <x:c r="C47" s="6" t="n">
        <x:f>'Quest'!J45</x:f>
        <x:v>0</x:v>
      </x:c>
      <x:c r="D47" s="6" t="n">
        <x:f>'Quest'!K45</x:f>
        <x:v>80</x:v>
      </x:c>
      <x:c r="E47" s="6" t="n">
        <x:f>'Quest'!L45</x:f>
        <x:v>30</x:v>
      </x:c>
      <x:c r="F47" s="6" t="str">
        <x:v>Quest!A45</x:v>
      </x:c>
    </x:row>
    <x:row r="48">
      <x:c r="A48" s="6" t="str">
        <x:v>AG_MAIN_304</x:v>
      </x:c>
      <x:c r="B48" s="6" t="str">
        <x:v>收入</x:v>
      </x:c>
      <x:c r="C48" s="6" t="n">
        <x:f>'Quest'!J46</x:f>
        <x:v>0</x:v>
      </x:c>
      <x:c r="D48" s="6" t="n">
        <x:f>'Quest'!K46</x:f>
        <x:v>80</x:v>
      </x:c>
      <x:c r="E48" s="6" t="n">
        <x:f>'Quest'!L46</x:f>
        <x:v>30</x:v>
      </x:c>
      <x:c r="F48" s="6" t="str">
        <x:v>Quest!A46</x:v>
      </x:c>
    </x:row>
    <x:row r="49">
      <x:c r="A49" s="6" t="str">
        <x:v>AG_MAIN_305</x:v>
      </x:c>
      <x:c r="B49" s="6" t="str">
        <x:v>收入</x:v>
      </x:c>
      <x:c r="C49" s="6" t="n">
        <x:f>'Quest'!J47</x:f>
        <x:v>0</x:v>
      </x:c>
      <x:c r="D49" s="6" t="n">
        <x:f>'Quest'!K47</x:f>
        <x:v>150</x:v>
      </x:c>
      <x:c r="E49" s="6" t="n">
        <x:f>'Quest'!L47</x:f>
        <x:v>50</x:v>
      </x:c>
      <x:c r="F49" s="6" t="str">
        <x:v>Quest!A47</x:v>
      </x:c>
    </x:row>
    <x:row r="50">
      <x:c r="A50" s="6" t="str">
        <x:v>AG_MAIN_306</x:v>
      </x:c>
      <x:c r="B50" s="6" t="str">
        <x:v>收入</x:v>
      </x:c>
      <x:c r="C50" s="6" t="n">
        <x:f>'Quest'!J48</x:f>
        <x:v>0</x:v>
      </x:c>
      <x:c r="D50" s="6" t="n">
        <x:f>'Quest'!K48</x:f>
        <x:v>50</x:v>
      </x:c>
      <x:c r="E50" s="6" t="n">
        <x:f>'Quest'!L48</x:f>
        <x:v>20</x:v>
      </x:c>
      <x:c r="F50" s="6" t="str">
        <x:v>Quest!A48</x:v>
      </x:c>
    </x:row>
    <x:row r="51">
      <x:c r="A51" s="6" t="str">
        <x:v>AG_MAIN_307</x:v>
      </x:c>
      <x:c r="B51" s="6" t="str">
        <x:v>收入</x:v>
      </x:c>
      <x:c r="C51" s="6" t="n">
        <x:f>'Quest'!J49</x:f>
        <x:v>0</x:v>
      </x:c>
      <x:c r="D51" s="6" t="n">
        <x:f>'Quest'!K49</x:f>
        <x:v>50</x:v>
      </x:c>
      <x:c r="E51" s="6" t="n">
        <x:f>'Quest'!L49</x:f>
        <x:v>20</x:v>
      </x:c>
      <x:c r="F51" s="6" t="str">
        <x:v>Quest!A49</x:v>
      </x:c>
    </x:row>
    <x:row r="52">
      <x:c r="A52" s="6" t="str">
        <x:v>AG_MAIN_308</x:v>
      </x:c>
      <x:c r="B52" s="6" t="str">
        <x:v>收入</x:v>
      </x:c>
      <x:c r="C52" s="6" t="n">
        <x:f>'Quest'!J50</x:f>
        <x:v>0</x:v>
      </x:c>
      <x:c r="D52" s="6" t="n">
        <x:f>'Quest'!K50</x:f>
        <x:v>50</x:v>
      </x:c>
      <x:c r="E52" s="6" t="n">
        <x:f>'Quest'!L50</x:f>
        <x:v>20</x:v>
      </x:c>
      <x:c r="F52" s="6" t="str">
        <x:v>Quest!A50</x:v>
      </x:c>
    </x:row>
    <x:row r="53">
      <x:c r="A53" s="6" t="str">
        <x:v>collect_bones</x:v>
      </x:c>
      <x:c r="B53" s="6" t="str">
        <x:v>收入</x:v>
      </x:c>
      <x:c r="C53" s="6" t="n">
        <x:f>'Quest'!J51</x:f>
        <x:v>45</x:v>
      </x:c>
      <x:c r="D53" s="6" t="n">
        <x:f>'Quest'!K51</x:f>
        <x:v>30</x:v>
      </x:c>
      <x:c r="E53" s="6" t="n">
        <x:f>'Quest'!L51</x:f>
        <x:v>10</x:v>
      </x:c>
      <x:c r="F53" s="6" t="str">
        <x:v>Quest!A51</x:v>
      </x:c>
    </x:row>
    <x:row r="54">
      <x:c r="A54" s="6" t="str">
        <x:v>collect_coal</x:v>
      </x:c>
      <x:c r="B54" s="6" t="str">
        <x:v>收入</x:v>
      </x:c>
      <x:c r="C54" s="6" t="n">
        <x:f>'Quest'!J52</x:f>
        <x:v>40</x:v>
      </x:c>
      <x:c r="D54" s="6" t="n">
        <x:f>'Quest'!K52</x:f>
        <x:v>25</x:v>
      </x:c>
      <x:c r="E54" s="6" t="n">
        <x:f>'Quest'!L52</x:f>
        <x:v>10</x:v>
      </x:c>
      <x:c r="F54" s="6" t="str">
        <x:v>Quest!A52</x:v>
      </x:c>
    </x:row>
    <x:row r="55">
      <x:c r="A55" s="6" t="str">
        <x:v>collect_diamonds</x:v>
      </x:c>
      <x:c r="B55" s="6" t="str">
        <x:v>收入</x:v>
      </x:c>
      <x:c r="C55" s="6" t="n">
        <x:f>'Quest'!J53</x:f>
        <x:v>120</x:v>
      </x:c>
      <x:c r="D55" s="6" t="n">
        <x:f>'Quest'!K53</x:f>
        <x:v>80</x:v>
      </x:c>
      <x:c r="E55" s="6" t="n">
        <x:f>'Quest'!L53</x:f>
        <x:v>25</x:v>
      </x:c>
      <x:c r="F55" s="6" t="str">
        <x:v>Quest!A53</x:v>
      </x:c>
    </x:row>
    <x:row r="56">
      <x:c r="A56" s="6" t="str">
        <x:v>collect_ender_pearls</x:v>
      </x:c>
      <x:c r="B56" s="6" t="str">
        <x:v>收入</x:v>
      </x:c>
      <x:c r="C56" s="6" t="n">
        <x:f>'Quest'!J54</x:f>
        <x:v>90</x:v>
      </x:c>
      <x:c r="D56" s="6" t="n">
        <x:f>'Quest'!K54</x:f>
        <x:v>60</x:v>
      </x:c>
      <x:c r="E56" s="6" t="n">
        <x:f>'Quest'!L54</x:f>
        <x:v>25</x:v>
      </x:c>
      <x:c r="F56" s="6" t="str">
        <x:v>Quest!A54</x:v>
      </x:c>
    </x:row>
    <x:row r="57">
      <x:c r="A57" s="6" t="str">
        <x:v>collect_gunpowder</x:v>
      </x:c>
      <x:c r="B57" s="6" t="str">
        <x:v>收入</x:v>
      </x:c>
      <x:c r="C57" s="6" t="n">
        <x:f>'Quest'!J55</x:f>
        <x:v>50</x:v>
      </x:c>
      <x:c r="D57" s="6" t="n">
        <x:f>'Quest'!K55</x:f>
        <x:v>35</x:v>
      </x:c>
      <x:c r="E57" s="6" t="n">
        <x:f>'Quest'!L55</x:f>
        <x:v>15</x:v>
      </x:c>
      <x:c r="F57" s="6" t="str">
        <x:v>Quest!A55</x:v>
      </x:c>
    </x:row>
    <x:row r="58">
      <x:c r="A58" s="6" t="str">
        <x:v>collect_iron_ingots</x:v>
      </x:c>
      <x:c r="B58" s="6" t="str">
        <x:v>收入</x:v>
      </x:c>
      <x:c r="C58" s="6" t="n">
        <x:f>'Quest'!J56</x:f>
        <x:v>50</x:v>
      </x:c>
      <x:c r="D58" s="6" t="n">
        <x:f>'Quest'!K56</x:f>
        <x:v>30</x:v>
      </x:c>
      <x:c r="E58" s="6" t="n">
        <x:f>'Quest'!L56</x:f>
        <x:v>10</x:v>
      </x:c>
      <x:c r="F58" s="6" t="str">
        <x:v>Quest!A56</x:v>
      </x:c>
    </x:row>
    <x:row r="59">
      <x:c r="A59" s="6" t="str">
        <x:v>collect_iron_ore</x:v>
      </x:c>
      <x:c r="B59" s="6" t="str">
        <x:v>收入</x:v>
      </x:c>
      <x:c r="C59" s="6" t="n">
        <x:f>'Quest'!J57</x:f>
        <x:v>55</x:v>
      </x:c>
      <x:c r="D59" s="6" t="n">
        <x:f>'Quest'!K57</x:f>
        <x:v>35</x:v>
      </x:c>
      <x:c r="E59" s="6" t="n">
        <x:f>'Quest'!L57</x:f>
        <x:v>10</x:v>
      </x:c>
      <x:c r="F59" s="6" t="str">
        <x:v>Quest!A57</x:v>
      </x:c>
    </x:row>
    <x:row r="60">
      <x:c r="A60" s="6" t="str">
        <x:v>collect_wheat</x:v>
      </x:c>
      <x:c r="B60" s="6" t="str">
        <x:v>收入</x:v>
      </x:c>
      <x:c r="C60" s="6" t="n">
        <x:f>'Quest'!J58</x:f>
        <x:v>35</x:v>
      </x:c>
      <x:c r="D60" s="6" t="n">
        <x:f>'Quest'!K58</x:f>
        <x:v>25</x:v>
      </x:c>
      <x:c r="E60" s="6" t="n">
        <x:f>'Quest'!L58</x:f>
        <x:v>10</x:v>
      </x:c>
      <x:c r="F60" s="6" t="str">
        <x:v>Quest!A58</x:v>
      </x:c>
    </x:row>
    <x:row r="61">
      <x:c r="A61" s="6" t="str">
        <x:v>collect_wood</x:v>
      </x:c>
      <x:c r="B61" s="6" t="str">
        <x:v>收入</x:v>
      </x:c>
      <x:c r="C61" s="6" t="n">
        <x:f>'Quest'!J59</x:f>
        <x:v>30</x:v>
      </x:c>
      <x:c r="D61" s="6" t="n">
        <x:f>'Quest'!K59</x:f>
        <x:v>20</x:v>
      </x:c>
      <x:c r="E61" s="6" t="n">
        <x:f>'Quest'!L59</x:f>
        <x:v>10</x:v>
      </x:c>
      <x:c r="F61" s="6" t="str">
        <x:v>Quest!A59</x:v>
      </x:c>
    </x:row>
    <x:row r="62">
      <x:c r="A62" s="6" t="str">
        <x:v>elite_skeletons</x:v>
      </x:c>
      <x:c r="B62" s="6" t="str">
        <x:v>收入</x:v>
      </x:c>
      <x:c r="C62" s="6" t="n">
        <x:f>'Quest'!J60</x:f>
        <x:v>240</x:v>
      </x:c>
      <x:c r="D62" s="6" t="n">
        <x:f>'Quest'!K60</x:f>
        <x:v>170</x:v>
      </x:c>
      <x:c r="E62" s="6" t="n">
        <x:f>'Quest'!L60</x:f>
        <x:v>60</x:v>
      </x:c>
      <x:c r="F62" s="6" t="str">
        <x:v>Quest!A60</x:v>
      </x:c>
    </x:row>
    <x:row r="63">
      <x:c r="A63" s="6" t="str">
        <x:v>elite_spiders</x:v>
      </x:c>
      <x:c r="B63" s="6" t="str">
        <x:v>收入</x:v>
      </x:c>
      <x:c r="C63" s="6" t="n">
        <x:f>'Quest'!J61</x:f>
        <x:v>220</x:v>
      </x:c>
      <x:c r="D63" s="6" t="n">
        <x:f>'Quest'!K61</x:f>
        <x:v>160</x:v>
      </x:c>
      <x:c r="E63" s="6" t="n">
        <x:f>'Quest'!L61</x:f>
        <x:v>60</x:v>
      </x:c>
      <x:c r="F63" s="6" t="str">
        <x:v>Quest!A61</x:v>
      </x:c>
    </x:row>
    <x:row r="64">
      <x:c r="A64" s="6" t="str">
        <x:v>elite_zombies</x:v>
      </x:c>
      <x:c r="B64" s="6" t="str">
        <x:v>收入</x:v>
      </x:c>
      <x:c r="C64" s="6" t="n">
        <x:f>'Quest'!J62</x:f>
        <x:v>200</x:v>
      </x:c>
      <x:c r="D64" s="6" t="n">
        <x:f>'Quest'!K62</x:f>
        <x:v>150</x:v>
      </x:c>
      <x:c r="E64" s="6" t="n">
        <x:f>'Quest'!L62</x:f>
        <x:v>60</x:v>
      </x:c>
      <x:c r="F64" s="6" t="str">
        <x:v>Quest!A62</x:v>
      </x:c>
    </x:row>
    <x:row r="65">
      <x:c r="A65" s="6" t="str">
        <x:v>explore_desert</x:v>
      </x:c>
      <x:c r="B65" s="6" t="str">
        <x:v>收入</x:v>
      </x:c>
      <x:c r="C65" s="6" t="n">
        <x:f>'Quest'!J63</x:f>
        <x:v>85</x:v>
      </x:c>
      <x:c r="D65" s="6" t="n">
        <x:f>'Quest'!K63</x:f>
        <x:v>55</x:v>
      </x:c>
      <x:c r="E65" s="6" t="n">
        <x:f>'Quest'!L63</x:f>
        <x:v>25</x:v>
      </x:c>
      <x:c r="F65" s="6" t="str">
        <x:v>Quest!A63</x:v>
      </x:c>
    </x:row>
    <x:row r="66">
      <x:c r="A66" s="6" t="str">
        <x:v>explore_forest</x:v>
      </x:c>
      <x:c r="B66" s="6" t="str">
        <x:v>收入</x:v>
      </x:c>
      <x:c r="C66" s="6" t="n">
        <x:f>'Quest'!J64</x:f>
        <x:v>70</x:v>
      </x:c>
      <x:c r="D66" s="6" t="n">
        <x:f>'Quest'!K64</x:f>
        <x:v>45</x:v>
      </x:c>
      <x:c r="E66" s="6" t="n">
        <x:f>'Quest'!L64</x:f>
        <x:v>25</x:v>
      </x:c>
      <x:c r="F66" s="6" t="str">
        <x:v>Quest!A64</x:v>
      </x:c>
    </x:row>
    <x:row r="67">
      <x:c r="A67" s="6" t="str">
        <x:v>explore_jungle</x:v>
      </x:c>
      <x:c r="B67" s="6" t="str">
        <x:v>收入</x:v>
      </x:c>
      <x:c r="C67" s="6" t="n">
        <x:f>'Quest'!J65</x:f>
        <x:v>100</x:v>
      </x:c>
      <x:c r="D67" s="6" t="n">
        <x:f>'Quest'!K65</x:f>
        <x:v>65</x:v>
      </x:c>
      <x:c r="E67" s="6" t="n">
        <x:f>'Quest'!L65</x:f>
        <x:v>25</x:v>
      </x:c>
      <x:c r="F67" s="6" t="str">
        <x:v>Quest!A65</x:v>
      </x:c>
    </x:row>
    <x:row r="68">
      <x:c r="A68" s="6" t="str">
        <x:v>explore_plains</x:v>
      </x:c>
      <x:c r="B68" s="6" t="str">
        <x:v>收入</x:v>
      </x:c>
      <x:c r="C68" s="6" t="n">
        <x:f>'Quest'!J66</x:f>
        <x:v>70</x:v>
      </x:c>
      <x:c r="D68" s="6" t="n">
        <x:f>'Quest'!K66</x:f>
        <x:v>45</x:v>
      </x:c>
      <x:c r="E68" s="6" t="n">
        <x:f>'Quest'!L66</x:f>
        <x:v>25</x:v>
      </x:c>
      <x:c r="F68" s="6" t="str">
        <x:v>Quest!A66</x:v>
      </x:c>
    </x:row>
    <x:row r="69">
      <x:c r="A69" s="6" t="str">
        <x:v>explore_snowy</x:v>
      </x:c>
      <x:c r="B69" s="6" t="str">
        <x:v>收入</x:v>
      </x:c>
      <x:c r="C69" s="6" t="n">
        <x:f>'Quest'!J67</x:f>
        <x:v>95</x:v>
      </x:c>
      <x:c r="D69" s="6" t="n">
        <x:f>'Quest'!K67</x:f>
        <x:v>60</x:v>
      </x:c>
      <x:c r="E69" s="6" t="n">
        <x:f>'Quest'!L67</x:f>
        <x:v>25</x:v>
      </x:c>
      <x:c r="F69" s="6" t="str">
        <x:v>Quest!A67</x:v>
      </x:c>
    </x:row>
    <x:row r="70">
      <x:c r="A70" s="6" t="str">
        <x:v>hunt_blazes</x:v>
      </x:c>
      <x:c r="B70" s="6" t="str">
        <x:v>收入</x:v>
      </x:c>
      <x:c r="C70" s="6" t="n">
        <x:f>'Quest'!J68</x:f>
        <x:v>130</x:v>
      </x:c>
      <x:c r="D70" s="6" t="n">
        <x:f>'Quest'!K68</x:f>
        <x:v>90</x:v>
      </x:c>
      <x:c r="E70" s="6" t="n">
        <x:f>'Quest'!L68</x:f>
        <x:v>40</x:v>
      </x:c>
      <x:c r="F70" s="6" t="str">
        <x:v>Quest!A68</x:v>
      </x:c>
    </x:row>
    <x:row r="71">
      <x:c r="A71" s="6" t="str">
        <x:v>hunt_creepers</x:v>
      </x:c>
      <x:c r="B71" s="6" t="str">
        <x:v>收入</x:v>
      </x:c>
      <x:c r="C71" s="6" t="n">
        <x:f>'Quest'!J69</x:f>
        <x:v>80</x:v>
      </x:c>
      <x:c r="D71" s="6" t="n">
        <x:f>'Quest'!K69</x:f>
        <x:v>50</x:v>
      </x:c>
      <x:c r="E71" s="6" t="n">
        <x:f>'Quest'!L69</x:f>
        <x:v>15</x:v>
      </x:c>
      <x:c r="F71" s="6" t="str">
        <x:v>Quest!A69</x:v>
      </x:c>
    </x:row>
    <x:row r="72">
      <x:c r="A72" s="6" t="str">
        <x:v>hunt_endermen</x:v>
      </x:c>
      <x:c r="B72" s="6" t="str">
        <x:v>收入</x:v>
      </x:c>
      <x:c r="C72" s="6" t="n">
        <x:f>'Quest'!J70</x:f>
        <x:v>100</x:v>
      </x:c>
      <x:c r="D72" s="6" t="n">
        <x:f>'Quest'!K70</x:f>
        <x:v>70</x:v>
      </x:c>
      <x:c r="E72" s="6" t="n">
        <x:f>'Quest'!L70</x:f>
        <x:v>15</x:v>
      </x:c>
      <x:c r="F72" s="6" t="str">
        <x:v>Quest!A70</x:v>
      </x:c>
    </x:row>
    <x:row r="73">
      <x:c r="A73" s="6" t="str">
        <x:v>hunt_skeletons</x:v>
      </x:c>
      <x:c r="B73" s="6" t="str">
        <x:v>收入</x:v>
      </x:c>
      <x:c r="C73" s="6" t="n">
        <x:f>'Quest'!J71</x:f>
        <x:v>65</x:v>
      </x:c>
      <x:c r="D73" s="6" t="n">
        <x:f>'Quest'!K71</x:f>
        <x:v>40</x:v>
      </x:c>
      <x:c r="E73" s="6" t="n">
        <x:f>'Quest'!L71</x:f>
        <x:v>10</x:v>
      </x:c>
      <x:c r="F73" s="6" t="str">
        <x:v>Quest!A71</x:v>
      </x:c>
    </x:row>
    <x:row r="74">
      <x:c r="A74" s="6" t="str">
        <x:v>hunt_slimes</x:v>
      </x:c>
      <x:c r="B74" s="6" t="str">
        <x:v>收入</x:v>
      </x:c>
      <x:c r="C74" s="6" t="n">
        <x:f>'Quest'!J72</x:f>
        <x:v>50</x:v>
      </x:c>
      <x:c r="D74" s="6" t="n">
        <x:f>'Quest'!K72</x:f>
        <x:v>35</x:v>
      </x:c>
      <x:c r="E74" s="6" t="n">
        <x:f>'Quest'!L72</x:f>
        <x:v>10</x:v>
      </x:c>
      <x:c r="F74" s="6" t="str">
        <x:v>Quest!A72</x:v>
      </x:c>
    </x:row>
    <x:row r="75">
      <x:c r="A75" s="6" t="str">
        <x:v>hunt_spiders</x:v>
      </x:c>
      <x:c r="B75" s="6" t="str">
        <x:v>收入</x:v>
      </x:c>
      <x:c r="C75" s="6" t="n">
        <x:f>'Quest'!J73</x:f>
        <x:v>55</x:v>
      </x:c>
      <x:c r="D75" s="6" t="n">
        <x:f>'Quest'!K73</x:f>
        <x:v>35</x:v>
      </x:c>
      <x:c r="E75" s="6" t="n">
        <x:f>'Quest'!L73</x:f>
        <x:v>10</x:v>
      </x:c>
      <x:c r="F75" s="6" t="str">
        <x:v>Quest!A73</x:v>
      </x:c>
    </x:row>
    <x:row r="76">
      <x:c r="A76" s="6" t="str">
        <x:v>hunt_witches</x:v>
      </x:c>
      <x:c r="B76" s="6" t="str">
        <x:v>收入</x:v>
      </x:c>
      <x:c r="C76" s="6" t="n">
        <x:f>'Quest'!J74</x:f>
        <x:v>110</x:v>
      </x:c>
      <x:c r="D76" s="6" t="n">
        <x:f>'Quest'!K74</x:f>
        <x:v>75</x:v>
      </x:c>
      <x:c r="E76" s="6" t="n">
        <x:f>'Quest'!L74</x:f>
        <x:v>25</x:v>
      </x:c>
      <x:c r="F76" s="6" t="str">
        <x:v>Quest!A74</x:v>
      </x:c>
    </x:row>
    <x:row r="77">
      <x:c r="A77" s="6" t="str">
        <x:v>hunt_zombies</x:v>
      </x:c>
      <x:c r="B77" s="6" t="str">
        <x:v>收入</x:v>
      </x:c>
      <x:c r="C77" s="6" t="n">
        <x:f>'Quest'!J75</x:f>
        <x:v>60</x:v>
      </x:c>
      <x:c r="D77" s="6" t="n">
        <x:f>'Quest'!K75</x:f>
        <x:v>40</x:v>
      </x:c>
      <x:c r="E77" s="6" t="n">
        <x:f>'Quest'!L75</x:f>
        <x:v>10</x:v>
      </x:c>
      <x:c r="F77" s="6" t="str">
        <x:v>Quest!A75</x:v>
      </x:c>
    </x:row>
    <x:row r="78">
      <x:c r="A78" s="6" t="str">
        <x:v>survive_in_desert</x:v>
      </x:c>
      <x:c r="B78" s="6" t="str">
        <x:v>收入</x:v>
      </x:c>
      <x:c r="C78" s="6" t="n">
        <x:f>'Quest'!J76</x:f>
        <x:v>90</x:v>
      </x:c>
      <x:c r="D78" s="6" t="n">
        <x:f>'Quest'!K76</x:f>
        <x:v>55</x:v>
      </x:c>
      <x:c r="E78" s="6" t="n">
        <x:f>'Quest'!L76</x:f>
        <x:v>25</x:v>
      </x:c>
      <x:c r="F78" s="6" t="str">
        <x:v>Quest!A76</x:v>
      </x:c>
    </x:row>
    <x:row r="79">
      <x:c r="A79" s="6" t="str">
        <x:v>survive_in_nether</x:v>
      </x:c>
      <x:c r="B79" s="6" t="str">
        <x:v>收入</x:v>
      </x:c>
      <x:c r="C79" s="6" t="n">
        <x:f>'Quest'!J77</x:f>
        <x:v>140</x:v>
      </x:c>
      <x:c r="D79" s="6" t="n">
        <x:f>'Quest'!K77</x:f>
        <x:v>100</x:v>
      </x:c>
      <x:c r="E79" s="6" t="n">
        <x:f>'Quest'!L77</x:f>
        <x:v>40</x:v>
      </x:c>
      <x:c r="F79" s="6" t="str">
        <x:v>Quest!A77</x:v>
      </x:c>
    </x:row>
    <x:row r="80">
      <x:c r="A80" s="6" t="str">
        <x:v>survive_night_surface</x:v>
      </x:c>
      <x:c r="B80" s="6" t="str">
        <x:v>收入</x:v>
      </x:c>
      <x:c r="C80" s="6" t="n">
        <x:f>'Quest'!J78</x:f>
        <x:v>80</x:v>
      </x:c>
      <x:c r="D80" s="6" t="n">
        <x:f>'Quest'!K78</x:f>
        <x:v>50</x:v>
      </x:c>
      <x:c r="E80" s="6" t="n">
        <x:f>'Quest'!L78</x:f>
        <x:v>15</x:v>
      </x:c>
      <x:c r="F80" s="6" t="str">
        <x:v>Quest!A78</x:v>
      </x:c>
    </x:row>
    <x:row r="81">
      <x:c r="A81" s="6" t="str">
        <x:v>transport_gold_to_guild</x:v>
      </x:c>
      <x:c r="B81" s="6" t="str">
        <x:v>收入</x:v>
      </x:c>
      <x:c r="C81" s="6" t="n">
        <x:f>'Quest'!J79</x:f>
        <x:v>160</x:v>
      </x:c>
      <x:c r="D81" s="6" t="n">
        <x:f>'Quest'!K79</x:f>
        <x:v>110</x:v>
      </x:c>
      <x:c r="E81" s="6" t="n">
        <x:f>'Quest'!L79</x:f>
        <x:v>40</x:v>
      </x:c>
      <x:c r="F81" s="6" t="str">
        <x:v>Quest!A79</x:v>
      </x:c>
    </x:row>
    <x:row r="82">
      <x:c r="A82" s="6" t="str">
        <x:v>transport_iron_to_guild</x:v>
      </x:c>
      <x:c r="B82" s="6" t="str">
        <x:v>收入</x:v>
      </x:c>
      <x:c r="C82" s="6" t="n">
        <x:f>'Quest'!J80</x:f>
        <x:v>100</x:v>
      </x:c>
      <x:c r="D82" s="6" t="n">
        <x:f>'Quest'!K80</x:f>
        <x:v>65</x:v>
      </x:c>
      <x:c r="E82" s="6" t="n">
        <x:f>'Quest'!L80</x:f>
        <x:v>25</x:v>
      </x:c>
      <x:c r="F82" s="6" t="str">
        <x:v>Quest!A80</x:v>
      </x:c>
    </x:row>
    <x:row r="83">
      <x:c r="A83" s="6" t="str">
        <x:v>transport_wood_to_guild</x:v>
      </x:c>
      <x:c r="B83" s="6" t="str">
        <x:v>收入</x:v>
      </x:c>
      <x:c r="C83" s="6" t="n">
        <x:f>'Quest'!J81</x:f>
        <x:v>60</x:v>
      </x:c>
      <x:c r="D83" s="6" t="n">
        <x:f>'Quest'!K81</x:f>
        <x:v>40</x:v>
      </x:c>
      <x:c r="E83" s="6" t="n">
        <x:f>'Quest'!L81</x:f>
        <x:v>15</x:v>
      </x:c>
      <x:c r="F83" s="6" t="str">
        <x:v>Quest!A81</x:v>
      </x:c>
    </x:row>
    <x:row r="84">
      <x:c r="A84" s="6" t="str">
        <x:v>Tutorial_001</x:v>
      </x:c>
      <x:c r="B84" s="6" t="str">
        <x:v>收入</x:v>
      </x:c>
      <x:c r="C84" s="6" t="n">
        <x:f>'Quest'!J82</x:f>
        <x:v>20</x:v>
      </x:c>
      <x:c r="D84" s="6" t="n">
        <x:f>'Quest'!K82</x:f>
        <x:v>20</x:v>
      </x:c>
      <x:c r="E84" s="6" t="n">
        <x:f>'Quest'!L82</x:f>
        <x:v>10</x:v>
      </x:c>
      <x:c r="F84" s="6" t="str">
        <x:v>Quest!A82</x:v>
      </x:c>
    </x:row>
    <x:row r="86">
      <x:c r="A86" s="12" t="str">
        <x:v>消耗 · 规划</x:v>
      </x:c>
      <x:c r="B86" s="12" t="str">
        <x:v>消耗 · 规划</x:v>
      </x:c>
      <x:c r="C86" s="12" t="str">
        <x:v>消耗 · 规划</x:v>
      </x:c>
      <x:c r="D86" s="12" t="str">
        <x:v>消耗 · 规划</x:v>
      </x:c>
      <x:c r="E86" s="12" t="str">
        <x:v>消耗 · 规划</x:v>
      </x:c>
      <x:c r="F86" s="12" t="str">
        <x:v>消耗 · 规划</x:v>
      </x:c>
    </x:row>
    <x:row r="87" ht="22" customHeight="1">
      <x:c r="A87" s="5" t="str">
        <x:v>项目</x:v>
      </x:c>
      <x:c r="B87" s="5" t="str">
        <x:v>类型</x:v>
      </x:c>
      <x:c r="C87" s="5" t="str">
        <x:v>数值</x:v>
      </x:c>
      <x:c r="D87" s="5" t="str">
        <x:v>单位</x:v>
      </x:c>
      <x:c r="E87" s="5" t="str">
        <x:v>解锁/版本</x:v>
      </x:c>
      <x:c r="F87" s="5" t="str">
        <x:v>说明</x:v>
      </x:c>
    </x:row>
    <x:row r="88">
      <x:c r="A88" s="6" t="str">
        <x:v>任务刷新（第1次付费）</x:v>
      </x:c>
      <x:c r="B88" s="6" t="str">
        <x:v>消耗</x:v>
      </x:c>
      <x:c r="C88" s="6" t="n">
        <x:v>50</x:v>
      </x:c>
      <x:c r="D88" s="6" t="str">
        <x:v>金币</x:v>
      </x:c>
      <x:c r="E88" s="6" t="str">
        <x:v>V0.4</x:v>
      </x:c>
      <x:c r="F88" s="6" t="str">
        <x:v>每日免费3次后</x:v>
      </x:c>
    </x:row>
    <x:row r="89">
      <x:c r="A89" s="6" t="str">
        <x:v>任务刷新（第2次付费）</x:v>
      </x:c>
      <x:c r="B89" s="6" t="str">
        <x:v>消耗</x:v>
      </x:c>
      <x:c r="C89" s="6" t="n">
        <x:v>100</x:v>
      </x:c>
      <x:c r="D89" s="6" t="str">
        <x:v>金币</x:v>
      </x:c>
      <x:c r="E89" s="6" t="str">
        <x:v>V0.4</x:v>
      </x:c>
      <x:c r="F89" s="6" t="str">
        <x:v>费用递增</x:v>
      </x:c>
    </x:row>
    <x:row r="90">
      <x:c r="A90" s="6" t="str">
        <x:v>任务刷新（第3次付费）</x:v>
      </x:c>
      <x:c r="B90" s="6" t="str">
        <x:v>消耗</x:v>
      </x:c>
      <x:c r="C90" s="6" t="n">
        <x:v>150</x:v>
      </x:c>
      <x:c r="D90" s="6" t="str">
        <x:v>金币</x:v>
      </x:c>
      <x:c r="E90" s="6" t="str">
        <x:v>V0.4</x:v>
      </x:c>
      <x:c r="F90" s="6" t="str">
        <x:v>费用递增</x:v>
      </x:c>
    </x:row>
    <x:row r="91">
      <x:c r="A91" s="6" t="str">
        <x:v>任务刷新（第4次付费）</x:v>
      </x:c>
      <x:c r="B91" s="6" t="str">
        <x:v>消耗</x:v>
      </x:c>
      <x:c r="C91" s="6" t="n">
        <x:v>200</x:v>
      </x:c>
      <x:c r="D91" s="6" t="str">
        <x:v>金币</x:v>
      </x:c>
      <x:c r="E91" s="6" t="str">
        <x:v>V0.4</x:v>
      </x:c>
      <x:c r="F91" s="6" t="str">
        <x:v>费用递增，封顶</x:v>
      </x:c>
    </x:row>
    <x:row r="93">
      <x:c r="A93" s="12" t="str">
        <x:v>经济摘要（公式计算）</x:v>
      </x:c>
      <x:c r="B93" s="12" t="str">
        <x:v>经济摘要（公式计算）</x:v>
      </x:c>
      <x:c r="C93" s="12" t="str">
        <x:v>经济摘要（公式计算）</x:v>
      </x:c>
      <x:c r="D93" s="12" t="str">
        <x:v>经济摘要（公式计算）</x:v>
      </x:c>
      <x:c r="E93" s="12" t="str">
        <x:v>经济摘要（公式计算）</x:v>
      </x:c>
      <x:c r="F93" s="12" t="str">
        <x:v>经济摘要（公式计算）</x:v>
      </x:c>
    </x:row>
    <x:row r="94">
      <x:c r="A94" s="14" t="str">
        <x:v>任务总数</x:v>
      </x:c>
      <x:c r="B94" s="14" t="n">
        <x:f>COUNTA('Quest'!A3:A82)</x:f>
        <x:v>80</x:v>
      </x:c>
      <x:c r="C94"/>
      <x:c r="D94"/>
      <x:c r="E94"/>
      <x:c r="F94" t="str">
        <x:v>COUNTA(Quest.quest_id)</x:v>
      </x:c>
    </x:row>
    <x:row r="95">
      <x:c r="A95" s="14" t="str">
        <x:v>平均任务金币收益</x:v>
      </x:c>
      <x:c r="B95" s="15" t="n">
        <x:f>AVERAGE('Quest'!J3:J82)</x:f>
        <x:v>52.8125</x:v>
      </x:c>
      <x:c r="C95"/>
      <x:c r="D95"/>
      <x:c r="E95"/>
      <x:c r="F95" t="str">
        <x:v>AVERAGE(Quest.reward_gold)</x:v>
      </x:c>
    </x:row>
    <x:row r="96">
      <x:c r="A96" s="14" t="str">
        <x:v>平均任务EXP收益</x:v>
      </x:c>
      <x:c r="B96" s="15" t="n">
        <x:f>AVERAGE('Quest'!K3:K82)</x:f>
        <x:v>94.375</x:v>
      </x:c>
      <x:c r="C96"/>
      <x:c r="D96"/>
      <x:c r="E96"/>
      <x:c r="F96" t="str">
        <x:v>AVERAGE(Quest.reward_exp)</x:v>
      </x:c>
    </x:row>
    <x:row r="97">
      <x:c r="A97" s="14" t="str">
        <x:v>单任务最高金币</x:v>
      </x:c>
      <x:c r="B97" s="16" t="n">
        <x:f>MAX('Quest'!J3:J82)</x:f>
        <x:v>500</x:v>
      </x:c>
      <x:c r="C97"/>
      <x:c r="D97"/>
      <x:c r="E97"/>
      <x:c r="F97" t="str">
        <x:v>MAX(Quest.reward_gold)</x:v>
      </x:c>
    </x:row>
    <x:row r="98">
      <x:c r="A98" s="14" t="str">
        <x:v>金币:EXP 平均比值</x:v>
      </x:c>
      <x:c r="B98" s="17" t="n">
        <x:f>B95/B96</x:f>
        <x:v>0.5596026490066225</x:v>
      </x:c>
      <x:c r="C98"/>
      <x:c r="D98"/>
      <x:c r="E98"/>
      <x:c r="F98" t="str">
        <x:v>平均金币 / 平均EXP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64" hidden="0" customWidth="1"/>
  </x:cols>
  <x:sheetData>
    <x:row r="1" ht="30" customHeight="1">
      <x:c r="A1" s="2" t="str">
        <x:v>V1.0 验收清单 TestData（状态持续更新）</x:v>
      </x:c>
      <x:c r="B1" s="2" t="str">
        <x:v>V1.0 验收清单 TestData（状态持续更新）</x:v>
      </x:c>
      <x:c r="C1" s="2" t="str">
        <x:v>V1.0 验收清单 TestData（状态持续更新）</x:v>
      </x:c>
      <x:c r="D1" s="2" t="str">
        <x:v>V1.0 验收清单 TestData（状态持续更新）</x:v>
      </x:c>
    </x:row>
    <x:row r="2" ht="22" customHeight="1">
      <x:c r="A2" s="5" t="str">
        <x:v>编号</x:v>
      </x:c>
      <x:c r="B2" s="5" t="str">
        <x:v>验收项</x:v>
      </x:c>
      <x:c r="C2" s="5" t="str">
        <x:v>状态</x:v>
      </x:c>
      <x:c r="D2" s="5" t="str">
        <x:v>说明</x:v>
      </x:c>
    </x:row>
    <x:row r="3">
      <x:c r="A3" s="7" t="n">
        <x:v>1</x:v>
      </x:c>
      <x:c r="B3" s="7" t="str">
        <x:v>Mod正常加载</x:v>
      </x:c>
      <x:c r="C3" s="7" t="str">
        <x:v>已通过</x:v>
      </x:c>
      <x:c r="D3" s="7" t="str">
        <x:v>Forge 专用服务器完整启动（Done 7.435s），无崩溃</x:v>
      </x:c>
    </x:row>
    <x:row r="4">
      <x:c r="A4" s="7" t="n">
        <x:v>2</x:v>
      </x:c>
      <x:c r="B4" s="7" t="str">
        <x:v>数据驱动任务读取</x:v>
      </x:c>
      <x:c r="C4" s="7" t="str">
        <x:v>已通过</x:v>
      </x:c>
      <x:c r="D4" s="7" t="str">
        <x:v>32 个任务 JSON 全部加载</x:v>
      </x:c>
    </x:row>
    <x:row r="5">
      <x:c r="A5" s="7" t="n">
        <x:v>3</x:v>
      </x:c>
      <x:c r="B5" s="7" t="str">
        <x:v>任务池/任务链/商店/装备读取</x:v>
      </x:c>
      <x:c r="C5" s="7" t="str">
        <x:v>已通过</x:v>
      </x:c>
      <x:c r="D5" s="7" t="str">
        <x:v>22 条目 / 3 链 / 3 商店 / 5 装备全部加载</x:v>
      </x:c>
    </x:row>
    <x:row r="6">
      <x:c r="A6" s="7" t="n">
        <x:v>4</x:v>
      </x:c>
      <x:c r="B6" s="7" t="str">
        <x:v>新手引导 Tutorial_001</x:v>
      </x:c>
      <x:c r="C6" s="7" t="str">
        <x:v>已实现待验证</x:v>
      </x:c>
      <x:c r="D6" s="7" t="str">
        <x:v>置顶新手任务，完成后解锁正式大厅</x:v>
      </x:c>
    </x:row>
    <x:row r="7">
      <x:c r="A7" s="7" t="n">
        <x:v>5</x:v>
      </x:c>
      <x:c r="B7" s="7" t="str">
        <x:v>玩家注册</x:v>
      </x:c>
      <x:c r="C7" s="7" t="str">
        <x:v>已实现待验证</x:v>
      </x:c>
      <x:c r="D7" s="7" t="str">
        <x:v>/ag register 与 UI 注册按钮</x:v>
      </x:c>
    </x:row>
    <x:row r="8">
      <x:c r="A8" s="7" t="n">
        <x:v>6</x:v>
      </x:c>
      <x:c r="B8" s="7" t="str">
        <x:v>任务大厅</x:v>
      </x:c>
      <x:c r="C8" s="7" t="str">
        <x:v>已实现待验证</x:v>
      </x:c>
      <x:c r="D8" s="7" t="str">
        <x:v>新手+每日板+任务链合并显示，品质颜色与锁定状态</x:v>
      </x:c>
    </x:row>
    <x:row r="9">
      <x:c r="A9" s="7" t="n">
        <x:v>7</x:v>
      </x:c>
      <x:c r="B9" s="7" t="str">
        <x:v>接取任务</x:v>
      </x:c>
      <x:c r="C9" s="7" t="str">
        <x:v>已实现待验证</x:v>
      </x:c>
      <x:c r="D9" s="7" t="str">
        <x:v>等级/声望/上板/重复/上限校验全部服务端执行</x:v>
      </x:c>
    </x:row>
    <x:row r="10">
      <x:c r="A10" s="7" t="n">
        <x:v>8</x:v>
      </x:c>
      <x:c r="B10" s="7" t="str">
        <x:v>6 种任务类型</x:v>
      </x:c>
      <x:c r="C10" s="7" t="str">
        <x:v>已实现待验证</x:v>
      </x:c>
      <x:c r="D10" s="7" t="str">
        <x:v>COLLECT/HUNT/EXPLORE/SURVIVE/TRANSPORT/ELITE</x:v>
      </x:c>
    </x:row>
    <x:row r="11">
      <x:c r="A11" s="7" t="n">
        <x:v>9</x:v>
      </x:c>
      <x:c r="B11" s="7" t="str">
        <x:v>任务进度</x:v>
      </x:c>
      <x:c r="C11" s="7" t="str">
        <x:v>已实现待验证</x:v>
      </x:c>
      <x:c r="D11" s="7" t="str">
        <x:v>拾取/击杀/位置/存活/送达/精英标记</x:v>
      </x:c>
    </x:row>
    <x:row r="12">
      <x:c r="A12" s="7" t="n">
        <x:v>10</x:v>
      </x:c>
      <x:c r="B12" s="7" t="str">
        <x:v>任务完成与奖励</x:v>
      </x:c>
      <x:c r="C12" s="7" t="str">
        <x:v>已实现待验证</x:v>
      </x:c>
      <x:c r="D12" s="7" t="str">
        <x:v>品质倍率+装备加成，金币/EXP/声望，防重复奖励</x:v>
      </x:c>
    </x:row>
    <x:row r="13">
      <x:c r="A13" s="7" t="n">
        <x:v>11</x:v>
      </x:c>
      <x:c r="B13" s="7" t="str">
        <x:v>放弃与时间限制</x:v>
      </x:c>
      <x:c r="C13" s="7" t="str">
        <x:v>已实现待验证</x:v>
      </x:c>
      <x:c r="D13" s="7" t="str">
        <x:v>手动放弃/超时自动 ABANDONED</x:v>
      </x:c>
    </x:row>
    <x:row r="14">
      <x:c r="A14" s="7" t="n">
        <x:v>12</x:v>
      </x:c>
      <x:c r="B14" s="7" t="str">
        <x:v>6 级成长与称号</x:v>
      </x:c>
      <x:c r="C14" s="7" t="str">
        <x:v>已实现待验证</x:v>
      </x:c>
      <x:c r="D14" s="7" t="str">
        <x:v>Lv1–Lv6 曲线 + 等级称号</x:v>
      </x:c>
    </x:row>
    <x:row r="15">
      <x:c r="A15" s="7" t="n">
        <x:v>13</x:v>
      </x:c>
      <x:c r="B15" s="7" t="str">
        <x:v>公会声望</x:v>
      </x:c>
      <x:c r="C15" s="7" t="str">
        <x:v>已实现待验证</x:v>
      </x:c>
      <x:c r="D15" s="7" t="str">
        <x:v>6 阶段声望与解锁门槛</x:v>
      </x:c>
    </x:row>
    <x:row r="16">
      <x:c r="A16" s="7" t="n">
        <x:v>14</x:v>
      </x:c>
      <x:c r="B16" s="7" t="str">
        <x:v>每日任务板</x:v>
      </x:c>
      <x:c r="C16" s="7" t="str">
        <x:v>已实现待验证</x:v>
      </x:c>
      <x:c r="D16" s="7" t="str">
        <x:v>每天 3普通/2优秀/1稀有</x:v>
      </x:c>
    </x:row>
    <x:row r="17">
      <x:c r="A17" s="7" t="n">
        <x:v>15</x:v>
      </x:c>
      <x:c r="B17" s="7" t="str">
        <x:v>任务刷新</x:v>
      </x:c>
      <x:c r="C17" s="7" t="str">
        <x:v>已实现待验证</x:v>
      </x:c>
      <x:c r="D17" s="7" t="str">
        <x:v>免费3次后 50/100/150/200 金币递增</x:v>
      </x:c>
    </x:row>
    <x:row r="18">
      <x:c r="A18" s="7" t="n">
        <x:v>16</x:v>
      </x:c>
      <x:c r="B18" s="7" t="str">
        <x:v>商店购买</x:v>
      </x:c>
      <x:c r="C18" s="7" t="str">
        <x:v>已实现待验证</x:v>
      </x:c>
      <x:c r="D18" s="7" t="str">
        <x:v>3 商店、等级解锁、金币扣除、背包溢出掉落</x:v>
      </x:c>
    </x:row>
    <x:row r="19">
      <x:c r="A19" s="7" t="n">
        <x:v>17</x:v>
      </x:c>
      <x:c r="B19" s="7" t="str">
        <x:v>5 件饰品效果</x:v>
      </x:c>
      <x:c r="C19" s="7" t="str">
        <x:v>已实现待验证</x:v>
      </x:c>
      <x:c r="D19" s="7" t="str">
        <x:v>EXP/金币/挖掘/敌对伤害/移速加成</x:v>
      </x:c>
    </x:row>
    <x:row r="20">
      <x:c r="A20" s="7" t="n">
        <x:v>18</x:v>
      </x:c>
      <x:c r="B20" s="7" t="str">
        <x:v>Curios 软集成</x:v>
      </x:c>
      <x:c r="C20" s="7" t="str">
        <x:v>已实现待验证</x:v>
      </x:c>
      <x:c r="D20" s="7" t="str">
        <x:v>有 Curios 读饰品槽；无 Curios 手持兜底，核心不受影响</x:v>
      </x:c>
    </x:row>
    <x:row r="21">
      <x:c r="A21" s="7" t="n">
        <x:v>19</x:v>
      </x:c>
      <x:c r="B21" s="7" t="str">
        <x:v>NPC 与公会终端</x:v>
      </x:c>
      <x:c r="C21" s="7" t="str">
        <x:v>已实现待验证</x:v>
      </x:c>
      <x:c r="D21" s="7" t="str">
        <x:v>3 个功能 NPC + 终端方块</x:v>
      </x:c>
    </x:row>
    <x:row r="22">
      <x:c r="A22" s="7" t="n">
        <x:v>20</x:v>
      </x:c>
      <x:c r="B22" s="7" t="str">
        <x:v>任务链</x:v>
      </x:c>
      <x:c r="C22" s="7" t="str">
        <x:v>已实现待验证</x:v>
      </x:c>
      <x:c r="D22" s="7" t="str">
        <x:v>3 条链、前置解锁、完成自动推进</x:v>
      </x:c>
    </x:row>
    <x:row r="23">
      <x:c r="A23" s="7" t="n">
        <x:v>21</x:v>
      </x:c>
      <x:c r="B23" s="7" t="str">
        <x:v>精英怪</x:v>
      </x:c>
      <x:c r="C23" s="7" t="str">
        <x:v>已实现待验证</x:v>
      </x:c>
      <x:c r="D23" s="7" t="str">
        <x:v>接取后生成强化怪（+150% 生命）</x:v>
      </x:c>
    </x:row>
    <x:row r="24">
      <x:c r="A24" s="7" t="n">
        <x:v>22</x:v>
      </x:c>
      <x:c r="B24" s="7" t="str">
        <x:v>持久化</x:v>
      </x:c>
      <x:c r="C24" s="7" t="str">
        <x:v>已实现待验证</x:v>
      </x:c>
      <x:c r="D24" s="7" t="str">
        <x:v>玩家能力 NBT + 每日板 SavedData</x:v>
      </x:c>
    </x:row>
    <x:row r="25">
      <x:c r="A25" s="7" t="n">
        <x:v>23</x:v>
      </x:c>
      <x:c r="B25" s="7" t="str">
        <x:v>重启不丢数据</x:v>
      </x:c>
      <x:c r="C25" s="7" t="str">
        <x:v>设计保证待实测</x:v>
      </x:c>
      <x:c r="D25" s="7" t="str">
        <x:v>依赖 Forge 存档机制</x:v>
      </x:c>
    </x:row>
    <x:row r="26">
      <x:c r="A26" s="7" t="n">
        <x:v>24</x:v>
      </x:c>
      <x:c r="B26" s="7" t="str">
        <x:v>多人数据串号防护</x:v>
      </x:c>
      <x:c r="C26" s="7" t="str">
        <x:v>设计保证待实测</x:v>
      </x:c>
      <x:c r="D26" s="7" t="str">
        <x:v>全部状态按玩家隔离，快照只发给本人</x:v>
      </x:c>
    </x:row>
    <x:row r="27">
      <x:c r="A27" s="7" t="n">
        <x:v>25</x:v>
      </x:c>
      <x:c r="B27" s="7" t="str">
        <x:v>build成功</x:v>
      </x:c>
      <x:c r="C27" s="7" t="str">
        <x:v>已通过</x:v>
      </x:c>
      <x:c r="D27" s="7" t="str">
        <x:v>gradle clean build BUILD SUCCESSFUL</x:v>
      </x:c>
    </x:row>
  </x:sheetData>
  <x:mergeCells>
    <x:mergeCell ref="A1:D1"/>
  </x:mergeCells>
  <x:dataValidations count="1">
    <x:dataValidation type="list" sqref="C3:C27">
      <x:formula1>"已通过,已实现待验证,设计保证待实测,待实现"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2" hidden="0" customWidth="1"/>
  </x:cols>
  <x:sheetData>
    <x:row r="1" ht="30" customHeight="1">
      <x:c r="A1" s="2" t="str">
        <x:v>奖励倍率 QuestReward（品质倍率 × 饰品加成）</x:v>
      </x:c>
      <x:c r="B1" s="2" t="str">
        <x:v>奖励倍率 QuestReward（品质倍率 × 饰品加成）</x:v>
      </x:c>
      <x:c r="C1" s="2" t="str">
        <x:v>奖励倍率 QuestReward（品质倍率 × 饰品加成）</x:v>
      </x:c>
      <x:c r="D1" s="2" t="str">
        <x:v>奖励倍率 QuestReward（品质倍率 × 饰品加成）</x:v>
      </x:c>
    </x:row>
    <x:row r="2" ht="22" customHeight="1">
      <x:c r="A2" s="5" t="str">
        <x:v>quality</x:v>
      </x:c>
      <x:c r="B2" s="5" t="str">
        <x:v>multiplier</x:v>
      </x:c>
      <x:c r="C2" s="5" t="str">
        <x:v>note</x:v>
      </x:c>
      <x:c r="D2" s="5" t="str">
        <x:v>source</x:v>
      </x:c>
    </x:row>
    <x:row r="3">
      <x:c r="A3" s="6" t="str">
        <x:v>COMMON</x:v>
      </x:c>
      <x:c r="B3" s="10" t="n">
        <x:v>1</x:v>
      </x:c>
      <x:c r="C3" s="6" t="str">
        <x:v>每日任务基准</x:v>
      </x:c>
      <x:c r="D3" s="6" t="str">
        <x:v>代码 QuestQuality</x:v>
      </x:c>
    </x:row>
    <x:row r="4">
      <x:c r="A4" s="6" t="str">
        <x:v>UNCOMMON</x:v>
      </x:c>
      <x:c r="B4" s="10" t="n">
        <x:v>1.25</x:v>
      </x:c>
      <x:c r="C4" s="6" t="str">
        <x:v>每日任务</x:v>
      </x:c>
      <x:c r="D4" s="6" t="str">
        <x:v>代码 QuestQuality</x:v>
      </x:c>
    </x:row>
    <x:row r="5">
      <x:c r="A5" s="6" t="str">
        <x:v>RARE</x:v>
      </x:c>
      <x:c r="B5" s="10" t="n">
        <x:v>2</x:v>
      </x:c>
      <x:c r="C5" s="6" t="str">
        <x:v>主线/每日</x:v>
      </x:c>
      <x:c r="D5" s="6" t="str">
        <x:v>代码 QuestQuality</x:v>
      </x:c>
    </x:row>
    <x:row r="6">
      <x:c r="A6" s="6" t="str">
        <x:v>EPIC</x:v>
      </x:c>
      <x:c r="B6" s="10" t="n">
        <x:v>3</x:v>
      </x:c>
      <x:c r="C6" s="6" t="str">
        <x:v>主线/终局</x:v>
      </x:c>
      <x:c r="D6" s="6" t="str">
        <x:v>代码 QuestQuality</x:v>
      </x:c>
    </x:row>
    <x:row r="7">
      <x:c r="A7" s="6" t="str">
        <x:v>LEGENDARY</x:v>
      </x:c>
      <x:c r="B7" s="10" t="n">
        <x:v>5</x:v>
      </x:c>
      <x:c r="C7" s="6" t="str">
        <x:v>主线/终局</x:v>
      </x:c>
      <x:c r="D7" s="6" t="str">
        <x:v>代码 QuestQuality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</x:cols>
  <x:sheetData>
    <x:row r="1" ht="30" customHeight="1">
      <x:c r="A1" s="2" t="str">
        <x:v>任务/对话条件类型 QuestCondition</x:v>
      </x:c>
      <x:c r="B1" s="2" t="str">
        <x:v>任务/对话条件类型 QuestCondition</x:v>
      </x:c>
      <x:c r="C1" s="2" t="str">
        <x:v>任务/对话条件类型 QuestCondition</x:v>
      </x:c>
    </x:row>
    <x:row r="2" ht="22" customHeight="1">
      <x:c r="A2" s="5" t="str">
        <x:v>type</x:v>
      </x:c>
      <x:c r="B2" s="5" t="str">
        <x:v>value 示例</x:v>
      </x:c>
      <x:c r="C2" s="5" t="str">
        <x:v>说明</x:v>
      </x:c>
    </x:row>
    <x:row r="3">
      <x:c r="A3" s="6" t="str">
        <x:v>chapter</x:v>
      </x:c>
      <x:c r="B3" s="6" t="str">
        <x:v>chapter_2</x:v>
      </x:c>
      <x:c r="C3" s="6" t="str">
        <x:v>章节解锁</x:v>
      </x:c>
    </x:row>
    <x:row r="4">
      <x:c r="A4" s="6" t="str">
        <x:v>quest</x:v>
      </x:c>
      <x:c r="B4" s="6" t="str">
        <x:v>AG_MAIN_000</x:v>
      </x:c>
      <x:c r="C4" s="6" t="str">
        <x:v>任务已完成</x:v>
      </x:c>
    </x:row>
    <x:row r="5">
      <x:c r="A5" s="6" t="str">
        <x:v>event</x:v>
      </x:c>
      <x:c r="B5" s="6" t="str">
        <x:v>EVENT_FIRST_NETHER</x:v>
      </x:c>
      <x:c r="C5" s="6" t="str">
        <x:v>世界事件已记录</x:v>
      </x:c>
    </x:row>
    <x:row r="6">
      <x:c r="A6" s="6" t="str">
        <x:v>lore</x:v>
      </x:c>
      <x:c r="B6" s="6" t="str">
        <x:v>LORE_003</x:v>
      </x:c>
      <x:c r="C6" s="6" t="str">
        <x:v>档案已发现</x:v>
      </x:c>
    </x:row>
    <x:row r="7">
      <x:c r="A7" s="6" t="str">
        <x:v>reputation</x:v>
      </x:c>
      <x:c r="B7" s="6" t="str">
        <x:v>800</x:v>
      </x:c>
      <x:c r="C7" s="6" t="str">
        <x:v>声望阈值</x:v>
      </x:c>
    </x:row>
    <x:row r="8">
      <x:c r="A8" s="6" t="str">
        <x:v>level</x:v>
      </x:c>
      <x:c r="B8" s="6" t="str">
        <x:v>3</x:v>
      </x:c>
      <x:c r="C8" s="6" t="str">
        <x:v>等级阈值</x:v>
      </x:c>
    </x:row>
    <x:row r="9">
      <x:c r="A9" s="6" t="str">
        <x:v>first_visit</x:v>
      </x:c>
      <x:c r="B9" s="6" t="str">
        <x:v>receptionist</x:v>
      </x:c>
      <x:c r="C9" s="6" t="str">
        <x:v>首次拜访 NPC</x:v>
      </x:c>
    </x:row>
    <x:row r="10">
      <x:c r="A10" s="6" t="str">
        <x:v>dimension</x:v>
      </x:c>
      <x:c r="B10" s="6" t="str">
        <x:v>minecraft:the_nether</x:v>
      </x:c>
      <x:c r="C10" s="6" t="str">
        <x:v>所在维度</x:v>
      </x:c>
    </x:row>
    <x:row r="11">
      <x:c r="A11" s="6"/>
      <x:c r="B11" s="6"/>
      <x:c r="C11" s="6"/>
    </x:row>
    <x:row r="12">
      <x:c r="A12" s="6"/>
      <x:c r="B12" s="6"/>
      <x:c r="C12" s="6"/>
    </x:row>
    <x:row r="13">
      <x:c r="A13" s="6"/>
      <x:c r="B13" s="6"/>
      <x:c r="C13" s="6"/>
    </x:row>
    <x:row r="14">
      <x:c r="A14" s="6"/>
      <x:c r="B14" s="6"/>
      <x:c r="C14" s="6"/>
    </x:row>
    <x:row r="15">
      <x:c r="A15" s="6"/>
      <x:c r="B15" s="6"/>
      <x:c r="C15" s="6"/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14" hidden="0" customWidth="1"/>
    <x:col min="4" max="4" width="26" hidden="0" customWidth="1"/>
    <x:col min="5" max="5" width="12" hidden="0" customWidth="1"/>
  </x:cols>
  <x:sheetData>
    <x:row r="1" ht="30" customHeight="1">
      <x:c r="A1" s="2" t="str">
        <x:v>章节 Chapter（5 章，事件驱动弱线性解锁）</x:v>
      </x:c>
      <x:c r="B1" s="2" t="str">
        <x:v>章节 Chapter（5 章，事件驱动弱线性解锁）</x:v>
      </x:c>
      <x:c r="C1" s="2" t="str">
        <x:v>章节 Chapter（5 章，事件驱动弱线性解锁）</x:v>
      </x:c>
      <x:c r="D1" s="2" t="str">
        <x:v>章节 Chapter（5 章，事件驱动弱线性解锁）</x:v>
      </x:c>
      <x:c r="E1" s="2" t="str">
        <x:v>章节 Chapter（5 章，事件驱动弱线性解锁）</x:v>
      </x:c>
    </x:row>
    <x:row r="2" ht="22" customHeight="1">
      <x:c r="A2" s="5" t="str">
        <x:v>chapter_id</x:v>
      </x:c>
      <x:c r="B2" s="5" t="str">
        <x:v>title_key</x:v>
      </x:c>
      <x:c r="C2" s="5" t="str">
        <x:v>unlock_type</x:v>
      </x:c>
      <x:c r="D2" s="5" t="str">
        <x:v>unlock_value</x:v>
      </x:c>
      <x:c r="E2" s="5" t="str">
        <x:v>quest_count</x:v>
      </x:c>
    </x:row>
    <x:row r="3">
      <x:c r="A3" s="6" t="str">
        <x:v>chapter_0</x:v>
      </x:c>
      <x:c r="B3" s="6" t="str">
        <x:v>chapter.adventurersguild.chapter_0.title</x:v>
      </x:c>
      <x:c r="C3" s="6" t="str">
        <x:v>event</x:v>
      </x:c>
      <x:c r="D3" s="6" t="str"/>
      <x:c r="E3" s="6" t="n">
        <x:v>0</x:v>
      </x:c>
    </x:row>
    <x:row r="4">
      <x:c r="A4" s="6" t="str">
        <x:v>chapter_1</x:v>
      </x:c>
      <x:c r="B4" s="6" t="str">
        <x:v>chapter.adventurersguild.chapter_1.title</x:v>
      </x:c>
      <x:c r="C4" s="6" t="str">
        <x:v>event</x:v>
      </x:c>
      <x:c r="D4" s="6" t="str">
        <x:v>EVENT_GUILD_REGISTER</x:v>
      </x:c>
      <x:c r="E4" s="6" t="n">
        <x:v>8</x:v>
      </x:c>
    </x:row>
    <x:row r="5">
      <x:c r="A5" s="6" t="str">
        <x:v>chapter_2</x:v>
      </x:c>
      <x:c r="B5" s="6" t="str">
        <x:v>chapter.adventurersguild.chapter_2.title</x:v>
      </x:c>
      <x:c r="C5" s="6" t="str">
        <x:v>event</x:v>
      </x:c>
      <x:c r="D5" s="6" t="str">
        <x:v>EVENT_FIRST_NETHER</x:v>
      </x:c>
      <x:c r="E5" s="6" t="n">
        <x:v>8</x:v>
      </x:c>
    </x:row>
    <x:row r="6">
      <x:c r="A6" s="6" t="str">
        <x:v>chapter_3</x:v>
      </x:c>
      <x:c r="B6" s="6" t="str">
        <x:v>chapter.adventurersguild.chapter_3.title</x:v>
      </x:c>
      <x:c r="C6" s="6" t="str">
        <x:v>event</x:v>
      </x:c>
      <x:c r="D6" s="6" t="str">
        <x:v>EVENT_FIRST_END</x:v>
      </x:c>
      <x:c r="E6" s="6" t="n">
        <x:v>8</x:v>
      </x:c>
    </x:row>
    <x:row r="7">
      <x:c r="A7" s="6" t="str">
        <x:v>endgame</x:v>
      </x:c>
      <x:c r="B7" s="6" t="str">
        <x:v>chapter.adventurersguild.endgame.title</x:v>
      </x:c>
      <x:c r="C7" s="6" t="str">
        <x:v>event</x:v>
      </x:c>
      <x:c r="D7" s="6" t="str">
        <x:v>EVENT_DRAGON_DEATH</x:v>
      </x:c>
      <x:c r="E7" s="6" t="n">
        <x:v>24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2" hidden="0" customWidth="1"/>
  </x:cols>
  <x:sheetData>
    <x:row r="1" ht="30" customHeight="1">
      <x:c r="A1" s="2" t="str">
        <x:v>章节里程碑 Milestone</x:v>
      </x:c>
      <x:c r="B1" s="2" t="str">
        <x:v>章节里程碑 Milestone</x:v>
      </x:c>
      <x:c r="C1" s="2" t="str">
        <x:v>章节里程碑 Milestone</x:v>
      </x:c>
    </x:row>
    <x:row r="2" ht="22" customHeight="1">
      <x:c r="A2" s="5" t="str">
        <x:v>chapter_id</x:v>
      </x:c>
      <x:c r="B2" s="5" t="str">
        <x:v>milestone</x:v>
      </x:c>
      <x:c r="C2" s="5" t="str">
        <x:v>type</x:v>
      </x:c>
    </x:row>
    <x:row r="3">
      <x:c r="A3" s="6" t="str">
        <x:v>chapter_1</x:v>
      </x:c>
      <x:c r="B3" s="6" t="str">
        <x:v>EVENT_GUILD_REGISTER</x:v>
      </x:c>
      <x:c r="C3" s="6" t="str">
        <x:v>event</x:v>
      </x:c>
    </x:row>
    <x:row r="4">
      <x:c r="A4" s="6" t="str">
        <x:v>chapter_2</x:v>
      </x:c>
      <x:c r="B4" s="6" t="str">
        <x:v>EVENT_FIRST_NETHER</x:v>
      </x:c>
      <x:c r="C4" s="6" t="str">
        <x:v>event</x:v>
      </x:c>
    </x:row>
    <x:row r="5">
      <x:c r="A5" s="6" t="str">
        <x:v>chapter_3</x:v>
      </x:c>
      <x:c r="B5" s="6" t="str">
        <x:v>EVENT_FIRST_END</x:v>
      </x:c>
      <x:c r="C5" s="6" t="str">
        <x:v>event</x:v>
      </x:c>
    </x:row>
    <x:row r="6">
      <x:c r="A6" s="6" t="str">
        <x:v>endgame</x:v>
      </x:c>
      <x:c r="B6" s="6" t="str">
        <x:v>EVENT_DRAGON_DEATH</x:v>
      </x:c>
      <x:c r="C6" s="6" t="str">
        <x:v>event</x:v>
      </x:c>
    </x:row>
    <x:row r="7">
      <x:c r="A7" s="6"/>
      <x:c r="B7" s="6"/>
      <x:c r="C7" s="6"/>
    </x:row>
  </x:sheetData>
  <x:mergeCells>
    <x:mergeCell ref="A1:C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34" hidden="0" customWidth="1"/>
  </x:cols>
  <x:sheetData>
    <x:row r="1" ht="30" customHeight="1">
      <x:c r="A1" s="2" t="str">
        <x:v>公会 NPC（6 名核心 NPC，GuildNPCEntity）</x:v>
      </x:c>
      <x:c r="B1" s="2" t="str">
        <x:v>公会 NPC（6 名核心 NPC，GuildNPCEntity）</x:v>
      </x:c>
      <x:c r="C1" s="2" t="str">
        <x:v>公会 NPC（6 名核心 NPC，GuildNPCEntity）</x:v>
      </x:c>
      <x:c r="D1" s="2" t="str">
        <x:v>公会 NPC（6 名核心 NPC，GuildNPCEntity）</x:v>
      </x:c>
    </x:row>
    <x:row r="2" ht="22" customHeight="1">
      <x:c r="A2" s="5" t="str">
        <x:v>id</x:v>
      </x:c>
      <x:c r="B2" s="5" t="str">
        <x:v>name(zh)</x:v>
      </x:c>
      <x:c r="C2" s="5" t="str">
        <x:v>职位</x:v>
      </x:c>
      <x:c r="D2" s="5" t="str">
        <x:v>功能</x:v>
      </x:c>
    </x:row>
    <x:row r="3">
      <x:c r="A3" s="6" t="str">
        <x:v>receptionist</x:v>
      </x:c>
      <x:c r="B3" s="6" t="str">
        <x:v>艾琳</x:v>
      </x:c>
      <x:c r="C3" s="6" t="str">
        <x:v>公会接待员</x:v>
      </x:c>
      <x:c r="D3" s="6" t="str">
        <x:v>注册 / 档案 / 新手引导</x:v>
      </x:c>
    </x:row>
    <x:row r="4">
      <x:c r="A4" s="6" t="str">
        <x:v>questmaster</x:v>
      </x:c>
      <x:c r="B4" s="6" t="str">
        <x:v>罗德</x:v>
      </x:c>
      <x:c r="C4" s="6" t="str">
        <x:v>任务管理员</x:v>
      </x:c>
      <x:c r="D4" s="6" t="str">
        <x:v>任务 / 任务链 / 评价</x:v>
      </x:c>
    </x:row>
    <x:row r="5">
      <x:c r="A5" s="6" t="str">
        <x:v>shopkeeper</x:v>
      </x:c>
      <x:c r="B5" s="6" t="str">
        <x:v>米娅</x:v>
      </x:c>
      <x:c r="C5" s="6" t="str">
        <x:v>公会商人</x:v>
      </x:c>
      <x:c r="D5" s="6" t="str">
        <x:v>商店 / 特殊商品</x:v>
      </x:c>
    </x:row>
    <x:row r="6">
      <x:c r="A6" s="6" t="str">
        <x:v>expedition_master</x:v>
      </x:c>
      <x:c r="B6" s="6" t="str">
        <x:v>格雷</x:v>
      </x:c>
      <x:c r="C6" s="6" t="str">
        <x:v>远征管理员</x:v>
      </x:c>
      <x:c r="D6" s="6" t="str">
        <x:v>下界 / 末地 / Endgame</x:v>
      </x:c>
    </x:row>
    <x:row r="7">
      <x:c r="A7" s="6" t="str">
        <x:v>archivist</x:v>
      </x:c>
      <x:c r="B7" s="6" t="str">
        <x:v>伊莱恩</x:v>
      </x:c>
      <x:c r="C7" s="6" t="str">
        <x:v>档案管理员</x:v>
      </x:c>
      <x:c r="D7" s="6" t="str">
        <x:v>Lore / 世界事件 / 记录</x:v>
      </x:c>
    </x:row>
    <x:row r="8">
      <x:c r="A8" s="6" t="str">
        <x:v>end_researcher</x:v>
      </x:c>
      <x:c r="B8" s="6" t="str">
        <x:v>塞拉斯</x:v>
      </x:c>
      <x:c r="C8" s="6" t="str">
        <x:v>终末研究员</x:v>
      </x:c>
      <x:c r="D8" s="6" t="str">
        <x:v>龙后内容 / 终末研究</x:v>
      </x:c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8" hidden="0" customWidth="1"/>
  </x:cols>
  <x:sheetData>
    <x:row r="1" ht="30" customHeight="1">
      <x:c r="A1" s="2" t="str">
        <x:v>世界事件 WorldEvent（15 个，once=true）</x:v>
      </x:c>
      <x:c r="B1" s="2" t="str">
        <x:v>世界事件 WorldEvent（15 个，once=true）</x:v>
      </x:c>
      <x:c r="C1" s="2" t="str">
        <x:v>世界事件 WorldEvent（15 个，once=true）</x:v>
      </x:c>
    </x:row>
    <x:row r="2" ht="22" customHeight="1">
      <x:c r="A2" s="5" t="str">
        <x:v>event_id</x:v>
      </x:c>
      <x:c r="B2" s="5" t="str">
        <x:v>触发</x:v>
      </x:c>
      <x:c r="C2" s="5" t="str">
        <x:v>说明</x:v>
      </x:c>
    </x:row>
    <x:row r="3">
      <x:c r="A3" s="6" t="str">
        <x:v>EVENT_GUILD_FOUND</x:v>
      </x:c>
      <x:c r="B3" s="6" t="str">
        <x:v>发现公会</x:v>
      </x:c>
      <x:c r="C3" s="6" t="str">
        <x:v>首次定位公会</x:v>
      </x:c>
    </x:row>
    <x:row r="4">
      <x:c r="A4" s="6" t="str">
        <x:v>EVENT_GUILD_REGISTER</x:v>
      </x:c>
      <x:c r="B4" s="6" t="str">
        <x:v>注册冒险者</x:v>
      </x:c>
      <x:c r="C4" s="6" t="str">
        <x:v>完成注册</x:v>
      </x:c>
    </x:row>
    <x:row r="5">
      <x:c r="A5" s="6" t="str">
        <x:v>EVENT_FIRST_DEATH</x:v>
      </x:c>
      <x:c r="B5" s="6" t="str">
        <x:v>第一次倒下</x:v>
      </x:c>
      <x:c r="C5" s="6" t="str">
        <x:v>玩家死亡</x:v>
      </x:c>
    </x:row>
    <x:row r="6">
      <x:c r="A6" s="6" t="str">
        <x:v>EVENT_FIRST_NETHER</x:v>
      </x:c>
      <x:c r="B6" s="6" t="str">
        <x:v>踏入下界</x:v>
      </x:c>
      <x:c r="C6" s="6" t="str">
        <x:v>维度变化</x:v>
      </x:c>
    </x:row>
    <x:row r="7">
      <x:c r="A7" s="6" t="str">
        <x:v>EVENT_NETHER_FORTRESS</x:v>
      </x:c>
      <x:c r="B7" s="6" t="str">
        <x:v>发现下界堡垒</x:v>
      </x:c>
      <x:c r="C7" s="6" t="str">
        <x:v>位于堡垒内</x:v>
      </x:c>
    </x:row>
    <x:row r="8">
      <x:c r="A8" s="6" t="str">
        <x:v>EVENT_FIRST_ENDER_EYE</x:v>
      </x:c>
      <x:c r="B8" s="6" t="str">
        <x:v>合成末影之眼</x:v>
      </x:c>
      <x:c r="C8" s="6" t="str">
        <x:v>合成事件</x:v>
      </x:c>
    </x:row>
    <x:row r="9">
      <x:c r="A9" s="6" t="str">
        <x:v>EVENT_STRONGHOLD_FOUND</x:v>
      </x:c>
      <x:c r="B9" s="6" t="str">
        <x:v>发现要塞</x:v>
      </x:c>
      <x:c r="C9" s="6" t="str">
        <x:v>位于要塞内</x:v>
      </x:c>
    </x:row>
    <x:row r="10">
      <x:c r="A10" s="6" t="str">
        <x:v>EVENT_END_PORTAL_OPEN</x:v>
      </x:c>
      <x:c r="B10" s="6" t="str">
        <x:v>开启终末之门</x:v>
      </x:c>
      <x:c r="C10" s="6" t="str">
        <x:v>进入末地</x:v>
      </x:c>
    </x:row>
    <x:row r="11">
      <x:c r="A11" s="6" t="str">
        <x:v>EVENT_FIRST_END</x:v>
      </x:c>
      <x:c r="B11" s="6" t="str">
        <x:v>踏入末地</x:v>
      </x:c>
      <x:c r="C11" s="6" t="str">
        <x:v>维度变化</x:v>
      </x:c>
    </x:row>
    <x:row r="12">
      <x:c r="A12" s="6" t="str">
        <x:v>EVENT_FIRST_DRAGON_ATTACK</x:v>
      </x:c>
      <x:c r="B12" s="6" t="str">
        <x:v>直面末影龙</x:v>
      </x:c>
      <x:c r="C12" s="6" t="str">
        <x:v>被龙攻击</x:v>
      </x:c>
    </x:row>
    <x:row r="13">
      <x:c r="A13" s="6" t="str">
        <x:v>EVENT_DRAGON_DEATH</x:v>
      </x:c>
      <x:c r="B13" s="6" t="str">
        <x:v>击败末影龙</x:v>
      </x:c>
      <x:c r="C13" s="6" t="str">
        <x:v>龙死亡</x:v>
      </x:c>
    </x:row>
    <x:row r="14">
      <x:c r="A14" s="6" t="str">
        <x:v>EVENT_WITHER_SUMMON</x:v>
      </x:c>
      <x:c r="B14" s="6" t="str">
        <x:v>召唤凋灵</x:v>
      </x:c>
      <x:c r="C14" s="6" t="str">
        <x:v>凋灵生成</x:v>
      </x:c>
    </x:row>
    <x:row r="15">
      <x:c r="A15" s="6" t="str">
        <x:v>EVENT_WITHER_DEATH</x:v>
      </x:c>
      <x:c r="B15" s="6" t="str">
        <x:v>击败凋灵</x:v>
      </x:c>
      <x:c r="C15" s="6" t="str">
        <x:v>凋灵死亡</x:v>
      </x:c>
    </x:row>
    <x:row r="16">
      <x:c r="A16" s="6" t="str">
        <x:v>EVENT_END_ISLAND</x:v>
      </x:c>
      <x:c r="B16" s="6" t="str">
        <x:v>抵达外岛</x:v>
      </x:c>
      <x:c r="C16" s="6" t="str">
        <x:v>末地 |x|&gt;800</x:v>
      </x:c>
    </x:row>
    <x:row r="17">
      <x:c r="A17" s="6" t="str">
        <x:v>EVENT_100_QUESTS</x:v>
      </x:c>
      <x:c r="B17" s="6" t="str">
        <x:v>完成百次委托</x:v>
      </x:c>
      <x:c r="C17" s="6" t="str">
        <x:v>任务计数≥100</x:v>
      </x:c>
    </x:row>
  </x:sheetData>
  <x:mergeCells>
    <x:mergeCell ref="A1:C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28" hidden="0" customWidth="1"/>
  </x:cols>
  <x:sheetData>
    <x:row r="1" ht="30" customHeight="1">
      <x:c r="A1" s="2" t="str">
        <x:v>Lore（12 条，事件自动发现）</x:v>
      </x:c>
      <x:c r="B1" s="2" t="str">
        <x:v>Lore（12 条，事件自动发现）</x:v>
      </x:c>
      <x:c r="C1" s="2" t="str">
        <x:v>Lore（12 条，事件自动发现）</x:v>
      </x:c>
    </x:row>
    <x:row r="2" ht="22" customHeight="1">
      <x:c r="A2" s="5" t="str">
        <x:v>lore_id</x:v>
      </x:c>
      <x:c r="B2" s="5" t="str">
        <x:v>title_key</x:v>
      </x:c>
      <x:c r="C2" s="5" t="str">
        <x:v>unlock_event</x:v>
      </x:c>
    </x:row>
    <x:row r="3">
      <x:c r="A3" s="6" t="str">
        <x:v>LORE_001</x:v>
      </x:c>
      <x:c r="B3" s="6" t="str">
        <x:v>lore.adventurersguild.LORE_001.title</x:v>
      </x:c>
      <x:c r="C3" s="6" t="str">
        <x:v>EVENT_GUILD_FOUND</x:v>
      </x:c>
    </x:row>
    <x:row r="4">
      <x:c r="A4" s="6" t="str">
        <x:v>LORE_002</x:v>
      </x:c>
      <x:c r="B4" s="6" t="str">
        <x:v>lore.adventurersguild.LORE_002.title</x:v>
      </x:c>
      <x:c r="C4" s="6" t="str">
        <x:v>EVENT_GUILD_REGISTER</x:v>
      </x:c>
    </x:row>
    <x:row r="5">
      <x:c r="A5" s="6" t="str">
        <x:v>LORE_003</x:v>
      </x:c>
      <x:c r="B5" s="6" t="str">
        <x:v>lore.adventurersguild.LORE_003.title</x:v>
      </x:c>
      <x:c r="C5" s="6" t="str">
        <x:v>EVENT_FIRST_NETHER</x:v>
      </x:c>
    </x:row>
    <x:row r="6">
      <x:c r="A6" s="6" t="str">
        <x:v>LORE_004</x:v>
      </x:c>
      <x:c r="B6" s="6" t="str">
        <x:v>lore.adventurersguild.LORE_004.title</x:v>
      </x:c>
      <x:c r="C6" s="6" t="str">
        <x:v>EVENT_STRONGHOLD_FOUND</x:v>
      </x:c>
    </x:row>
    <x:row r="7">
      <x:c r="A7" s="6" t="str">
        <x:v>LORE_005</x:v>
      </x:c>
      <x:c r="B7" s="6" t="str">
        <x:v>lore.adventurersguild.LORE_005.title</x:v>
      </x:c>
      <x:c r="C7" s="6" t="str">
        <x:v>EVENT_NETHER_FORTRESS</x:v>
      </x:c>
    </x:row>
    <x:row r="8">
      <x:c r="A8" s="6" t="str">
        <x:v>LORE_006</x:v>
      </x:c>
      <x:c r="B8" s="6" t="str">
        <x:v>lore.adventurersguild.LORE_006.title</x:v>
      </x:c>
      <x:c r="C8" s="6" t="str">
        <x:v>EVENT_FIRST_DRAGON_ATTACK</x:v>
      </x:c>
    </x:row>
    <x:row r="9">
      <x:c r="A9" s="6" t="str">
        <x:v>LORE_007</x:v>
      </x:c>
      <x:c r="B9" s="6" t="str">
        <x:v>lore.adventurersguild.LORE_007.title</x:v>
      </x:c>
      <x:c r="C9" s="6" t="str">
        <x:v>EVENT_DRAGON_DEATH</x:v>
      </x:c>
    </x:row>
    <x:row r="10">
      <x:c r="A10" s="6" t="str">
        <x:v>LORE_008</x:v>
      </x:c>
      <x:c r="B10" s="6" t="str">
        <x:v>lore.adventurersguild.LORE_008.title</x:v>
      </x:c>
      <x:c r="C10" s="6" t="str">
        <x:v>EVENT_END_PORTAL_OPEN</x:v>
      </x:c>
    </x:row>
    <x:row r="11">
      <x:c r="A11" s="6" t="str">
        <x:v>LORE_009</x:v>
      </x:c>
      <x:c r="B11" s="6" t="str">
        <x:v>lore.adventurersguild.LORE_009.title</x:v>
      </x:c>
      <x:c r="C11" s="6" t="str">
        <x:v>EVENT_WITHER_SUMMON</x:v>
      </x:c>
    </x:row>
    <x:row r="12">
      <x:c r="A12" s="6" t="str">
        <x:v>LORE_010</x:v>
      </x:c>
      <x:c r="B12" s="6" t="str">
        <x:v>lore.adventurersguild.LORE_010.title</x:v>
      </x:c>
      <x:c r="C12" s="6" t="str">
        <x:v>EVENT_END_ISLAND</x:v>
      </x:c>
    </x:row>
    <x:row r="13">
      <x:c r="A13" s="6" t="str">
        <x:v>LORE_011</x:v>
      </x:c>
      <x:c r="B13" s="6" t="str">
        <x:v>lore.adventurersguild.LORE_011.title</x:v>
      </x:c>
      <x:c r="C13" s="6" t="str">
        <x:v>EVENT_WITHER_DEATH</x:v>
      </x:c>
    </x:row>
    <x:row r="14">
      <x:c r="A14" s="6" t="str">
        <x:v>LORE_012</x:v>
      </x:c>
      <x:c r="B14" s="6" t="str">
        <x:v>lore.adventurersguild.LORE_012.title</x:v>
      </x:c>
      <x:c r="C14" s="6" t="str">
        <x:v>EVENT_100_QUESTS</x:v>
      </x:c>
    </x:row>
  </x:sheetData>
  <x:mergeCells>
    <x:mergeCell ref="A1:C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</x:cols>
  <x:sheetData>
    <x:row r="1" ht="30" customHeight="1">
      <x:c r="A1" s="2" t="str">
        <x:v>冒险团 Party（V1.1 轻量）</x:v>
      </x:c>
      <x:c r="B1" s="2" t="str">
        <x:v>冒险团 Party（V1.1 轻量）</x:v>
      </x:c>
    </x:row>
    <x:row r="2" ht="22" customHeight="1">
      <x:c r="A2" s="5" t="str">
        <x:v>字段</x:v>
      </x:c>
      <x:c r="B2" s="5" t="str">
        <x:v>说明</x:v>
      </x:c>
    </x:row>
    <x:row r="3">
      <x:c r="A3" s="6" t="str">
        <x:v>partyId</x:v>
      </x:c>
      <x:c r="B3" s="6" t="str">
        <x:v>唯一 ID（party_xxxx）</x:v>
      </x:c>
    </x:row>
    <x:row r="4">
      <x:c r="A4" s="6" t="str">
        <x:v>leaderUUID</x:v>
      </x:c>
      <x:c r="B4" s="6" t="str">
        <x:v>团长 UUID</x:v>
      </x:c>
    </x:row>
    <x:row r="5">
      <x:c r="A5" s="6" t="str">
        <x:v>members</x:v>
      </x:c>
      <x:c r="B5" s="6" t="str">
        <x:v>成员 UUID 列表</x:v>
      </x:c>
    </x:row>
    <x:row r="6">
      <x:c r="A6" s="6" t="str">
        <x:v>partyName</x:v>
      </x:c>
      <x:c r="B6" s="6" t="str">
        <x:v>团名</x:v>
      </x:c>
    </x:row>
    <x:row r="7">
      <x:c r="A7" s="6" t="str">
        <x:v>level / experience</x:v>
      </x:c>
      <x:c r="B7" s="6" t="str">
        <x:v>团队等级与经验</x:v>
      </x:c>
    </x:row>
    <x:row r="8">
      <x:c r="A8" s="6" t="str">
        <x:v>completedQuests / reputation</x:v>
      </x:c>
      <x:c r="B8" s="6" t="str">
        <x:v>团队累计任务与声望</x:v>
      </x:c>
    </x:row>
    <x:row r="9">
      <x:c r="A9" s="6" t="str">
        <x:v>creationTime</x:v>
      </x:c>
      <x:c r="B9" s="6" t="str">
        <x:v>创建时间（游戏刻）</x:v>
      </x:c>
    </x:row>
    <x:row r="10">
      <x:c r="A10" s="6" t="str">
        <x:v>操作</x:v>
      </x:c>
      <x:c r="B10" s="6" t="str">
        <x:v>create / invite / accept / join / leave / disband</x:v>
      </x:c>
    </x:row>
    <x:row r="11">
      <x:c r="A11" s="6" t="str">
        <x:v>V1.1 不实现</x:v>
      </x:c>
      <x:c r="B11" s="6" t="str">
        <x:v>AI 队友 / 职业 / 战斗同步 / MMO 公会</x:v>
      </x:c>
    </x:row>
  </x:sheetData>
  <x:mergeCells>
    <x:mergeCell ref="A1: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 ht="30" customHeight="1">
      <x:c r="A1" s="2" t="str">
        <x:v>解锁项 Unlock（server-authoritative）</x:v>
      </x:c>
      <x:c r="B1" s="2" t="str">
        <x:v>解锁项 Unlock（server-authoritative）</x:v>
      </x:c>
      <x:c r="C1" s="2" t="str">
        <x:v>解锁项 Unlock（server-authoritative）</x:v>
      </x:c>
    </x:row>
    <x:row r="2" ht="22" customHeight="1">
      <x:c r="A2" s="5" t="str">
        <x:v>key</x:v>
      </x:c>
      <x:c r="B2" s="5" t="str">
        <x:v>来源</x:v>
      </x:c>
      <x:c r="C2" s="5" t="str">
        <x:v>用途</x:v>
      </x:c>
    </x:row>
    <x:row r="3">
      <x:c r="A3" s="6" t="str">
        <x:v>chapter.chapter_1..3</x:v>
      </x:c>
      <x:c r="B3" s="6" t="str">
        <x:v>事件驱动</x:v>
      </x:c>
      <x:c r="C3" s="6" t="str">
        <x:v>章节解锁</x:v>
      </x:c>
    </x:row>
    <x:row r="4">
      <x:c r="A4" s="6" t="str">
        <x:v>chapter.endgame</x:v>
      </x:c>
      <x:c r="B4" s="6" t="str">
        <x:v>EVENT_DRAGON_DEATH</x:v>
      </x:c>
      <x:c r="C4" s="6" t="str">
        <x:v>终局解锁</x:v>
      </x:c>
    </x:row>
    <x:row r="5">
      <x:c r="A5" s="6" t="str">
        <x:v>dialogue.unlock.xxx</x:v>
      </x:c>
      <x:c r="B5" s="6" t="str">
        <x:v>对话动作</x:v>
      </x:c>
      <x:c r="C5" s="6" t="str">
        <x:v>对话解锁项</x:v>
      </x:c>
    </x:row>
    <x:row r="6">
      <x:c r="A6" s="6"/>
      <x:c r="B6" s="6"/>
      <x:c r="C6" s="6"/>
    </x:row>
    <x:row r="7">
      <x:c r="A7" s="6"/>
      <x:c r="B7" s="6"/>
      <x:c r="C7" s="6"/>
    </x:row>
    <x:row r="8">
      <x:c r="A8" s="6"/>
      <x:c r="B8" s="6"/>
      <x:c r="C8" s="6"/>
    </x:row>
    <x:row r="9">
      <x:c r="A9" s="6"/>
      <x:c r="B9" s="6"/>
      <x:c r="C9" s="6"/>
    </x:row>
  </x:sheetData>
  <x:mergeCells>
    <x:mergeCell ref="A1:C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34" hidden="0" customWidth="1"/>
  </x:cols>
  <x:sheetData>
    <x:row r="1" ht="30" customHeight="1">
      <x:c r="A1" s="2" t="str">
        <x:v>数值平衡 Balance</x:v>
      </x:c>
      <x:c r="B1" s="2" t="str">
        <x:v>数值平衡 Balance</x:v>
      </x:c>
      <x:c r="C1" s="2" t="str">
        <x:v>数值平衡 Balance</x:v>
      </x:c>
    </x:row>
    <x:row r="2" ht="22" customHeight="1">
      <x:c r="A2" s="5" t="str">
        <x:v>项目</x:v>
      </x:c>
      <x:c r="B2" s="5" t="str">
        <x:v>数值</x:v>
      </x:c>
      <x:c r="C2" s="5" t="str">
        <x:v>说明</x:v>
      </x:c>
    </x:row>
    <x:row r="3">
      <x:c r="A3" s="6" t="str">
        <x:v>任务上限</x:v>
      </x:c>
      <x:c r="B3" s="6" t="n">
        <x:v>3</x:v>
      </x:c>
      <x:c r="C3" s="6" t="str">
        <x:v>同时进行任务数</x:v>
      </x:c>
    </x:row>
    <x:row r="4">
      <x:c r="A4" s="6" t="str">
        <x:v>每日免费刷新</x:v>
      </x:c>
      <x:c r="B4" s="6" t="n">
        <x:v>3</x:v>
      </x:c>
      <x:c r="C4" s="6" t="str">
        <x:v>次/天</x:v>
      </x:c>
    </x:row>
    <x:row r="5">
      <x:c r="A5" s="6" t="str">
        <x:v>付费刷新</x:v>
      </x:c>
      <x:c r="B5" s="6" t="str">
        <x:v>50/100/150/200</x:v>
      </x:c>
      <x:c r="C5" s="6" t="str">
        <x:v>金币，封顶 200</x:v>
      </x:c>
    </x:row>
    <x:row r="6">
      <x:c r="A6" s="6" t="str">
        <x:v>等级曲线</x:v>
      </x:c>
      <x:c r="B6" s="6" t="str">
        <x:v>0/300/900/2000/4000/7500</x:v>
      </x:c>
      <x:c r="C6" s="6" t="str">
        <x:v>Lv1-Lv6</x:v>
      </x:c>
    </x:row>
    <x:row r="7">
      <x:c r="A7" s="6" t="str">
        <x:v>声望曲线</x:v>
      </x:c>
      <x:c r="B7" s="6" t="str">
        <x:v>0/100/300/800/1500/3000</x:v>
      </x:c>
      <x:c r="C7" s="6" t="str">
        <x:v>6 阶段</x:v>
      </x:c>
    </x:row>
    <x:row r="8">
      <x:c r="A8" s="6" t="str">
        <x:v>金币上限</x:v>
      </x:c>
      <x:c r="B8" s="6" t="n">
        <x:v>1000000000</x:v>
      </x:c>
      <x:c r="C8" s="6" t="str">
        <x:v>防溢出</x:v>
      </x:c>
    </x:row>
    <x:row r="9">
      <x:c r="A9" s="6" t="str">
        <x:v>任务品质倍率</x:v>
      </x:c>
      <x:c r="B9" s="6" t="str">
        <x:v>1.0/1.25/2.0/3.0/5.0</x:v>
      </x:c>
      <x:c r="C9" s="6" t="str">
        <x:v>COMMON-LEGENDARY</x:v>
      </x:c>
    </x:row>
    <x:row r="10">
      <x:c r="A10" s="6" t="str">
        <x:v>饰品加成</x:v>
      </x:c>
      <x:c r="B10" s="6" t="str">
        <x:v>0.05</x:v>
      </x:c>
      <x:c r="C10" s="6" t="str">
        <x:v>每件 +5%</x:v>
      </x:c>
    </x:row>
    <x:row r="11">
      <x:c r="A11" s="6" t="str">
        <x:v>精英怪生命</x:v>
      </x:c>
      <x:c r="B11" s="6" t="str">
        <x:v>+150%</x:v>
      </x:c>
      <x:c r="C11" s="6" t="str">
        <x:v>基础生命加成</x:v>
      </x:c>
    </x:row>
    <x:row r="12">
      <x:c r="A12" s="6" t="str">
        <x:v>成就阈值</x:v>
      </x:c>
      <x:c r="B12" s="6" t="str">
        <x:v>100/150/200</x:v>
      </x:c>
      <x:c r="C12" s="6" t="str">
        <x:v>AG_END_013/020/024</x:v>
      </x:c>
    </x:row>
    <x:row r="13">
      <x:c r="A13" s="6"/>
      <x:c r="B13" s="6"/>
      <x:c r="C13" s="6"/>
    </x:row>
    <x:row r="14">
      <x:c r="A14" s="6"/>
      <x:c r="B14" s="6"/>
      <x:c r="C14" s="6"/>
    </x:row>
  </x:sheetData>
  <x:mergeCells>
    <x:mergeCell ref="A1:C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44" hidden="0" customWidth="1"/>
  </x:cols>
  <x:sheetData>
    <x:row r="1" ht="30" customHeight="1">
      <x:c r="A1" s="2" t="str">
        <x:v>UI 页面清单（深木/羊皮纸/暗金/深蓝主题）</x:v>
      </x:c>
      <x:c r="B1" s="2" t="str">
        <x:v>UI 页面清单（深木/羊皮纸/暗金/深蓝主题）</x:v>
      </x:c>
      <x:c r="C1" s="2" t="str">
        <x:v>UI 页面清单（深木/羊皮纸/暗金/深蓝主题）</x:v>
      </x:c>
    </x:row>
    <x:row r="2" ht="22" customHeight="1">
      <x:c r="A2" s="5" t="str">
        <x:v>页面</x:v>
      </x:c>
      <x:c r="B2" s="5" t="str">
        <x:v>快捷键</x:v>
      </x:c>
      <x:c r="C2" s="5" t="str">
        <x:v>说明</x:v>
      </x:c>
    </x:row>
    <x:row r="3">
      <x:c r="A3" s="6" t="str">
        <x:v>GuildMainScreen</x:v>
      </x:c>
      <x:c r="B3" s="6" t="str">
        <x:v>G</x:v>
      </x:c>
      <x:c r="C3" s="6" t="str">
        <x:v>公会总览（章节/摘要/冒险团）</x:v>
      </x:c>
    </x:row>
    <x:row r="4">
      <x:c r="A4" s="6" t="str">
        <x:v>QuestBoardScreen</x:v>
      </x:c>
      <x:c r="B4" s="6" t="str">
        <x:v>J</x:v>
      </x:c>
      <x:c r="C4" s="6" t="str">
        <x:v>任务大厅</x:v>
      </x:c>
    </x:row>
    <x:row r="5">
      <x:c r="A5" s="6" t="str">
        <x:v>QuestDetailScreen</x:v>
      </x:c>
      <x:c r="B5" s="6" t="str">
        <x:v>-</x:v>
      </x:c>
      <x:c r="C5" s="6" t="str">
        <x:v>任务详情</x:v>
      </x:c>
    </x:row>
    <x:row r="6">
      <x:c r="A6" s="6" t="str">
        <x:v>MyQuestScreen</x:v>
      </x:c>
      <x:c r="B6" s="6" t="str">
        <x:v>-</x:v>
      </x:c>
      <x:c r="C6" s="6" t="str">
        <x:v>我的任务</x:v>
      </x:c>
    </x:row>
    <x:row r="7">
      <x:c r="A7" s="6" t="str">
        <x:v>AdventurerScreen</x:v>
      </x:c>
      <x:c r="B7" s="6" t="str">
        <x:v>K</x:v>
      </x:c>
      <x:c r="C7" s="6" t="str">
        <x:v>冒险者信息 + 饰品栏</x:v>
      </x:c>
    </x:row>
    <x:row r="8">
      <x:c r="A8" s="6" t="str">
        <x:v>ShopScreen</x:v>
      </x:c>
      <x:c r="B8" s="6" t="str">
        <x:v>-</x:v>
      </x:c>
      <x:c r="C8" s="6" t="str">
        <x:v>商店</x:v>
      </x:c>
    </x:row>
    <x:row r="9">
      <x:c r="A9" s="6" t="str">
        <x:v>QuestChainScreen</x:v>
      </x:c>
      <x:c r="B9" s="6" t="str">
        <x:v>-</x:v>
      </x:c>
      <x:c r="C9" s="6" t="str">
        <x:v>任务链</x:v>
      </x:c>
    </x:row>
    <x:row r="10">
      <x:c r="A10" s="6" t="str">
        <x:v>ChronicleScreen</x:v>
      </x:c>
      <x:c r="B10" s="6" t="str">
        <x:v>L</x:v>
      </x:c>
      <x:c r="C10" s="6" t="str">
        <x:v>编年史/档案</x:v>
      </x:c>
    </x:row>
    <x:row r="11">
      <x:c r="A11" s="6" t="str">
        <x:v>PartyScreen</x:v>
      </x:c>
      <x:c r="B11" s="6" t="str">
        <x:v>-</x:v>
      </x:c>
      <x:c r="C11" s="6" t="str">
        <x:v>冒险团</x:v>
      </x:c>
    </x:row>
    <x:row r="12">
      <x:c r="A12" s="6" t="str">
        <x:v>DialogueScreen</x:v>
      </x:c>
      <x:c r="B12" s="6" t="str">
        <x:v>-</x:v>
      </x:c>
      <x:c r="C12" s="6" t="str">
        <x:v>NPC 对话</x:v>
      </x:c>
    </x:row>
    <x:row r="13">
      <x:c r="A13" s="6"/>
      <x:c r="B13" s="6"/>
      <x:c r="C13" s="6"/>
    </x:row>
    <x:row r="14">
      <x:c r="A14" s="6"/>
      <x:c r="B14" s="6"/>
      <x:c r="C14" s="6"/>
    </x:row>
  </x:sheetData>
  <x:mergeCells>
    <x:mergeCell ref="A1:C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2" hidden="0" customWidth="1"/>
  </x:cols>
  <x:sheetData>
    <x:row r="1" ht="30" customHeight="1">
      <x:c r="A1" s="2" t="str">
        <x:v>终局成就/目标 Achievement（AG_END_*）</x:v>
      </x:c>
      <x:c r="B1" s="2" t="str">
        <x:v>终局成就/目标 Achievement（AG_END_*）</x:v>
      </x:c>
      <x:c r="C1" s="2" t="str">
        <x:v>终局成就/目标 Achievement（AG_END_*）</x:v>
      </x:c>
    </x:row>
    <x:row r="2" ht="22" customHeight="1">
      <x:c r="A2" s="5" t="str">
        <x:v>quest_id</x:v>
      </x:c>
      <x:c r="B2" s="5" t="str">
        <x:v>target</x:v>
      </x:c>
      <x:c r="C2" s="5" t="str">
        <x:v>threshold</x:v>
      </x:c>
    </x:row>
    <x:row r="3">
      <x:c r="A3" s="6" t="str">
        <x:v>AG_END_002</x:v>
      </x:c>
      <x:c r="B3" s="6" t="str">
        <x:v>endCrystals</x:v>
      </x:c>
      <x:c r="C3" s="6" t="n">
        <x:v>4</x:v>
      </x:c>
    </x:row>
    <x:row r="4">
      <x:c r="A4" s="6" t="str">
        <x:v>AG_END_011</x:v>
      </x:c>
      <x:c r="B4" s="6" t="str">
        <x:v>witherKills</x:v>
      </x:c>
      <x:c r="C4" s="6" t="n">
        <x:v>3</x:v>
      </x:c>
    </x:row>
    <x:row r="5">
      <x:c r="A5" s="6" t="str">
        <x:v>AG_END_012</x:v>
      </x:c>
      <x:c r="B5" s="6" t="str">
        <x:v>eliteKills</x:v>
      </x:c>
      <x:c r="C5" s="6" t="n">
        <x:v>15</x:v>
      </x:c>
    </x:row>
    <x:row r="6">
      <x:c r="A6" s="6" t="str">
        <x:v>AG_END_013</x:v>
      </x:c>
      <x:c r="B6" s="6" t="str">
        <x:v>completed</x:v>
      </x:c>
      <x:c r="C6" s="6" t="n">
        <x:v>100</x:v>
      </x:c>
    </x:row>
    <x:row r="7">
      <x:c r="A7" s="6" t="str">
        <x:v>AG_END_014</x:v>
      </x:c>
      <x:c r="B7" s="6" t="str">
        <x:v>gold</x:v>
      </x:c>
      <x:c r="C7" s="6" t="n">
        <x:v>50000</x:v>
      </x:c>
    </x:row>
    <x:row r="8">
      <x:c r="A8" s="6" t="str">
        <x:v>AG_END_015</x:v>
      </x:c>
      <x:c r="B8" s="6" t="str">
        <x:v>reputation</x:v>
      </x:c>
      <x:c r="C8" s="6" t="n">
        <x:v>3000</x:v>
      </x:c>
    </x:row>
    <x:row r="9">
      <x:c r="A9" s="6" t="str">
        <x:v>AG_END_016</x:v>
      </x:c>
      <x:c r="B9" s="6" t="str">
        <x:v>loreCount</x:v>
      </x:c>
      <x:c r="C9" s="6" t="n">
        <x:v>5</x:v>
      </x:c>
    </x:row>
    <x:row r="10">
      <x:c r="A10" s="6" t="str">
        <x:v>AG_END_020</x:v>
      </x:c>
      <x:c r="B10" s="6" t="str">
        <x:v>completed</x:v>
      </x:c>
      <x:c r="C10" s="6" t="n">
        <x:v>150</x:v>
      </x:c>
    </x:row>
    <x:row r="11">
      <x:c r="A11" s="6" t="str">
        <x:v>AG_END_022</x:v>
      </x:c>
      <x:c r="B11" s="6" t="str">
        <x:v>loreCount</x:v>
      </x:c>
      <x:c r="C11" s="6" t="n">
        <x:v>12</x:v>
      </x:c>
    </x:row>
    <x:row r="12">
      <x:c r="A12" s="6" t="str">
        <x:v>AG_END_023</x:v>
      </x:c>
      <x:c r="B12" s="6" t="str">
        <x:v>dragonKills</x:v>
      </x:c>
      <x:c r="C12" s="6" t="n">
        <x:v>1</x:v>
      </x:c>
    </x:row>
    <x:row r="13">
      <x:c r="A13" s="6" t="str">
        <x:v>AG_END_024</x:v>
      </x:c>
      <x:c r="B13" s="6" t="str">
        <x:v>completed</x:v>
      </x:c>
      <x:c r="C13" s="6" t="n">
        <x:v>200</x:v>
      </x:c>
    </x:row>
    <x:row r="14">
      <x:c r="A14" s="6" t="str">
        <x:v>AG_MAIN_002</x:v>
      </x:c>
      <x:c r="B14" s="6" t="str">
        <x:v>completed</x:v>
      </x:c>
      <x:c r="C14" s="6" t="n">
        <x:v>1</x:v>
      </x:c>
    </x:row>
    <x:row r="15">
      <x:c r="A15" s="6" t="str">
        <x:v>AG_MAIN_303</x:v>
      </x:c>
      <x:c r="B15" s="6" t="str">
        <x:v>endCrystals</x:v>
      </x:c>
      <x:c r="C15" s="6" t="n">
        <x:v>1</x:v>
      </x:c>
    </x:row>
    <x:row r="16">
      <x:c r="A16" s="6" t="str">
        <x:v>AG_MAIN_304</x:v>
      </x:c>
      <x:c r="B16" s="6" t="str">
        <x:v>dragonDamage</x:v>
      </x:c>
      <x:c r="C16" s="6" t="n">
        <x:v>1</x:v>
      </x:c>
    </x:row>
  </x:sheetData>
  <x:mergeCells>
    <x:mergeCell ref="A1:C1"/>
  </x:mergeCells>
  <x:pageMargins left="0.7" right="0.7" top="0.75" bottom="0.75" header="0.3" footer="0.3"/>
</x:worksheet>
</file>